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ff8efc57a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I" sheetId="1" r:id="R660530177c874e51"/>
    <x:sheet xmlns:r="http://schemas.openxmlformats.org/officeDocument/2006/relationships" name="PCE" sheetId="2" r:id="R45ea65624fbf449b"/>
    <x:sheet xmlns:r="http://schemas.openxmlformats.org/officeDocument/2006/relationships" name="Gasoline &amp; Diesel" sheetId="3" r:id="R2dc114c68ba0404a"/>
    <x:sheet xmlns:r="http://schemas.openxmlformats.org/officeDocument/2006/relationships" name="Employment " sheetId="4" r:id="Ra213995e68f34b08"/>
    <x:sheet xmlns:r="http://schemas.openxmlformats.org/officeDocument/2006/relationships" name="Wage Growth" sheetId="5" r:id="Rbc6d605184fe4f59"/>
    <x:sheet xmlns:r="http://schemas.openxmlformats.org/officeDocument/2006/relationships" name="Prime-Age Participation" sheetId="6" r:id="R810db042040a4ffe"/>
    <x:sheet xmlns:r="http://schemas.openxmlformats.org/officeDocument/2006/relationships" name="Unemployment Rates" sheetId="7" r:id="R3e5d2496a2454b9b"/>
    <x:sheet xmlns:r="http://schemas.openxmlformats.org/officeDocument/2006/relationships" name="Michigan Consumer Sentiment" sheetId="8" r:id="R1c5d638d56814b05"/>
    <x:sheet xmlns:r="http://schemas.openxmlformats.org/officeDocument/2006/relationships" name="Calendar" sheetId="9" r:id="Rad47d629788347e8"/>
    <x:sheet xmlns:r="http://schemas.openxmlformats.org/officeDocument/2006/relationships" name="G7 comparisons" sheetId="10" r:id="R29e9f837d4f84647"/>
    <x:sheet xmlns:r="http://schemas.openxmlformats.org/officeDocument/2006/relationships" name="Prices of specific goods" sheetId="11" r:id="Ra01e4de76dbc4a8a"/>
    <x:sheet xmlns:r="http://schemas.openxmlformats.org/officeDocument/2006/relationships" name="Manuf" sheetId="12" r:id="R22eebcb0c1804f8b"/>
    <x:sheet xmlns:r="http://schemas.openxmlformats.org/officeDocument/2006/relationships" name="Business Applications" sheetId="13" r:id="R9bc0515c2a2543b5"/>
    <x:sheet xmlns:r="http://schemas.openxmlformats.org/officeDocument/2006/relationships" name="Claims" sheetId="14" r:id="R88dbd9510b6d4461"/>
    <x:sheet xmlns:r="http://schemas.openxmlformats.org/officeDocument/2006/relationships" name="Markets" sheetId="15" r:id="R4b2cefb69e1144c2"/>
    <x:sheet xmlns:r="http://schemas.openxmlformats.org/officeDocument/2006/relationships" name="Federal Budget" sheetId="16" r:id="Rf5a23574f39b4823"/>
    <x:sheet xmlns:r="http://schemas.openxmlformats.org/officeDocument/2006/relationships" name="Other Indicators" sheetId="17" r:id="Rd3ea21e7c2d24c1c"/>
    <x:sheet xmlns:r="http://schemas.openxmlformats.org/officeDocument/2006/relationships" name="Refresh Log" sheetId="18" r:id="Rb57b32076dfc4989"/>
  </x:sheets>
</x:workbook>
</file>

<file path=xl/sharedStrings.xml><?xml version="1.0" encoding="utf-8"?>
<x:sst xmlns:x="http://schemas.openxmlformats.org/spreadsheetml/2006/main">
  <x:si>
    <x:t xml:space="preserve">MoM</x:t>
  </x:si>
  <x:si>
    <x:t xml:space="preserve">MoM a.r.</x:t>
  </x:si>
  <x:si>
    <x:t xml:space="preserve">3-Month a.r.</x:t>
  </x:si>
  <x:si>
    <x:t xml:space="preserve">6-Month a.r.</x:t>
  </x:si>
  <x:si>
    <x:t xml:space="preserve">YoY</x:t>
  </x:si>
  <x:si>
    <x:t xml:space="preserve">Headline</x:t>
  </x:si>
  <x:si>
    <x:t xml:space="preserve">Core</x:t>
  </x:si>
  <x:si>
    <x:t xml:space="preserve">Core Goods</x:t>
  </x:si>
  <x:si>
    <x:t xml:space="preserve">Core Services</x:t>
  </x:si>
  <x:si>
    <x:t xml:space="preserve">Shelter</x:t>
  </x:si>
  <x:si>
    <x:t xml:space="preserve">Food</x:t>
  </x:si>
  <x:si>
    <x:t xml:space="preserve">Energy</x:t>
  </x:si>
  <x:si>
    <x:t xml:space="preserve">Latest Print:</x:t>
  </x:si>
  <x:si>
    <x:t xml:space="preserve">https://www.bls.gov/news.release/pdf/cpi.pdf</x:t>
  </x:si>
  <x:si>
    <x:t xml:space="preserve">EconVitals:</x:t>
  </x:si>
  <x:si>
    <x:t xml:space="preserve">https://econvitals.org/inflation/#sec-cpi</x:t>
  </x:si>
  <x:si>
    <x:t xml:space="preserve">CPI/PCE easy download (slight delay on data release days)</x:t>
  </x:si>
  <x:si>
    <x:t xml:space="preserve">https://fred.stlouisfed.org/graph/?g=1wX9M</x:t>
  </x:si>
  <x:si>
    <x:t xml:space="preserve">Housing</x:t>
  </x:si>
  <x:si>
    <x:t xml:space="preserve">https://econvitals.org/inflation/#sec-pce</x:t>
  </x:si>
  <x:si>
    <x:t xml:space="preserve">AAA</x:t>
  </x:si>
  <x:si>
    <x:t xml:space="preserve">Fuel Type</x:t>
  </x:si>
  <x:si>
    <x:t xml:space="preserve">Today</x:t>
  </x:si>
  <x:si>
    <x:t xml:space="preserve">1 Week Ago</x:t>
  </x:si>
  <x:si>
    <x:t xml:space="preserve">1 Month Ago</x:t>
  </x:si>
  <x:si>
    <x:t xml:space="preserve">1 Year Ago</x:t>
  </x:si>
  <x:si>
    <x:t xml:space="preserve">Start of Iran War*</x:t>
  </x:si>
  <x:si>
    <x:t xml:space="preserve">Inauguration Day**</x:t>
  </x:si>
  <x:si>
    <x:t xml:space="preserve">2024 Average</x:t>
  </x:si>
  <x:si>
    <x:t xml:space="preserve">2023 Average</x:t>
  </x:si>
  <x:si>
    <x:t xml:space="preserve">Gasoline</x:t>
  </x:si>
  <x:si>
    <x:t xml:space="preserve">Diesel</x:t>
  </x:si>
  <x:si>
    <x:t xml:space="preserve">* Feb. 28, 2026</x:t>
  </x:si>
  <x:si>
    <x:t xml:space="preserve">** Jan. 20, 2025</x:t>
  </x:si>
  <x:si>
    <x:t xml:space="preserve">AAA:</x:t>
  </x:si>
  <x:si>
    <x:t xml:space="preserve">https://gasprices.aaa.com/</x:t>
  </x:si>
  <x:si>
    <x:t xml:space="preserve">EIA</x:t>
  </x:si>
  <x:si>
    <x:t xml:space="preserve">* Feb. 23, 2026 -- 5 days before war started</x:t>
  </x:si>
  <x:si>
    <x:t xml:space="preserve">EIA:</x:t>
  </x:si>
  <x:si>
    <x:r>
      <x:rPr>
        <x:u val="single"/>
        <x:color rgb="FF1155CC"/>
      </x:rPr>
      <x:t xml:space="preserve">https://www.eia.gov/petroleum/gasdiesel/</x:t>
    </x:r>
  </x:si>
  <x:si>
    <x:t xml:space="preserve">- Use data tab 3 in Gasoline workbook and data tab 1 in Diesel workbook</x:t>
  </x:si>
  <x:si>
    <x:t xml:space="preserve">Date</x:t>
  </x:si>
  <x:si>
    <x:t xml:space="preserve">Data Release</x:t>
  </x:si>
  <x:si>
    <x:t xml:space="preserve">Period</x:t>
  </x:si>
  <x:si>
    <x:t xml:space="preserve">Last</x:t>
  </x:si>
  <x:si>
    <x:t xml:space="preserve">Sept. 24</x:t>
  </x:si>
  <x:si>
    <x:t xml:space="preserve">Jobless Claims</x:t>
  </x:si>
  <x:si>
    <x:t xml:space="preserve">Weekly</x:t>
  </x:si>
  <x:si>
    <x:t xml:space="preserve">196k (initial claims)</x:t>
  </x:si>
  <x:si>
    <x:t xml:space="preserve">New Home Sales</x:t>
  </x:si>
  <x:si>
    <x:t xml:space="preserve">August</x:t>
  </x:si>
  <x:si>
    <x:t xml:space="preserve">607k</x:t>
  </x:si>
  <x:si>
    <x:t xml:space="preserve">Sept. 25</x:t>
  </x:si>
  <x:si>
    <x:t xml:space="preserve">Durable Goods</x:t>
  </x:si>
  <x:si>
    <x:t xml:space="preserve">Michigan Consumer Sentiment</x:t>
  </x:si>
  <x:si>
    <x:t xml:space="preserve">September</x:t>
  </x:si>
  <x:si>
    <x:t xml:space="preserve">Sept. 29</x:t>
  </x:si>
  <x:si>
    <x:t xml:space="preserve">	Conference Board Consumer Confidence</x:t>
  </x:si>
  <x:si>
    <x:t xml:space="preserve">JOLTS</x:t>
  </x:si>
  <x:si>
    <x:t xml:space="preserve">7.27m</x:t>
  </x:si>
  <x:si>
    <x:t xml:space="preserve">S&amp;P Case-Shiller HPI</x:t>
  </x:si>
  <x:si>
    <x:t xml:space="preserve">July</x:t>
  </x:si>
  <x:si>
    <x:t xml:space="preserve">Sept. 30</x:t>
  </x:si>
  <x:si>
    <x:t xml:space="preserve">GDP (Third Estimate)</x:t>
  </x:si>
  <x:si>
    <x:t xml:space="preserve">Q2 </x:t>
  </x:si>
  <x:si>
    <x:t xml:space="preserve">PCE</x:t>
  </x:si>
  <x:si>
    <x:t xml:space="preserve">0.2% (headline)</x:t>
  </x:si>
  <x:si>
    <x:t xml:space="preserve">Personal Income</x:t>
  </x:si>
  <x:si>
    <x:t xml:space="preserve">0.4% (income)</x:t>
  </x:si>
  <x:si>
    <x:t xml:space="preserve">Oct. 1</x:t>
  </x:si>
  <x:si>
    <x:t xml:space="preserve">Oct. 2</x:t>
  </x:si>
  <x:si>
    <x:t xml:space="preserve">Jobs day</x:t>
  </x:si>
  <x:si>
    <x:t xml:space="preserve">162k </x:t>
  </x:si>
  <x:si>
    <x:t xml:space="preserve">Oct. 8</x:t>
  </x:si>
  <x:si>
    <x:t xml:space="preserve">Oct. 14</x:t>
  </x:si>
  <x:si>
    <x:t xml:space="preserve">CPI</x:t>
  </x:si>
  <x:si>
    <x:t xml:space="preserve">0.4% (headline)</x:t>
  </x:si>
  <x:si>
    <x:t xml:space="preserve">Oct. 15</x:t>
  </x:si>
  <x:si>
    <x:t xml:space="preserve">PPI</x:t>
  </x:si>
  <x:si>
    <x:t xml:space="preserve">https://econvitals.org/calendar/</x:t>
  </x:si>
  <x:si>
    <x:t xml:space="preserve">https://fred.stlouisfed.org/graph/?g=1EdfQ</x:t>
  </x:si>
  <x:si>
    <x:t xml:space="preserve">Midwest Manuf</x:t>
  </x:si>
  <x:si>
    <x:t xml:space="preserve">https://fred.stlouisfed.org/graph/?g=1tzuA</x:t>
  </x:si>
  <x:si>
    <x:t xml:space="preserve">Auto Jobs</x:t>
  </x:si>
  <x:si>
    <x:t xml:space="preserve">https://fred.stlouisfed.org/graph/?g=1vp6J</x:t>
  </x:si>
</x:sst>
</file>

<file path=xl/styles.xml><?xml version="1.0" encoding="utf-8"?>
<x:styleSheet xmlns:x="http://schemas.openxmlformats.org/spreadsheetml/2006/main">
  <x:numFmts count="10">
    <x:numFmt numFmtId="164" formatCode="mmm. d, yyyy"/>
    <x:numFmt numFmtId="165" formatCode="mmm d, yyyy"/>
    <x:numFmt numFmtId="166" formatCode="0.0"/>
    <x:numFmt numFmtId="167" formatCode="&quot;$&quot;#,##0.00"/>
    <x:numFmt numFmtId="168" formatCode="0.0%"/>
    <x:numFmt numFmtId="200" formatCode="0.0;[Red](0.0);0.0"/>
    <x:numFmt numFmtId="201" formatCode="#,##0;[Red](#,##0);0"/>
    <x:numFmt numFmtId="202" formatCode="#,##0.0;[Red](#,##0.0);0.0"/>
    <x:numFmt numFmtId="203" formatCode="#,##0"/>
    <x:numFmt numFmtId="204" formatCode="0.00"/>
  </x:numFmts>
  <x:fonts count="11">
    <x:font>
      <x:sz val="10"/>
      <x:color rgb="FF000000"/>
      <x:name val="Arial"/>
    </x:font>
    <x:font>
      <x:color theme="1"/>
      <x:name val="Arial"/>
    </x:font>
    <x:font>
      <x:b/>
      <x:sz val="12"/>
      <x:color theme="1"/>
      <x:name val="Times New Roman"/>
    </x:font>
    <x:font>
      <x:sz val="12"/>
      <x:color rgb="FF000000"/>
      <x:name val="Times New Roman"/>
    </x:font>
    <x:font>
      <x:sz val="12"/>
      <x:color theme="1"/>
      <x:name val="Times New Roman"/>
    </x:font>
    <x:font>
      <x:color rgb="FF0000FF"/>
    </x:font>
    <x:font>
      <x:color rgb="FF0000FF"/>
    </x:font>
    <x:font>
      <x:b/>
      <x:sz val="12"/>
      <x:color theme="1"/>
      <x:name val="Arial"/>
    </x:font>
    <x:font>
      <x:b/>
      <x:sz val="12"/>
      <x:color rgb="FF000000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FFFF00"/>
      </x:patternFill>
    </x:fill>
    <x:fill>
      <x:patternFill patternType="solid">
        <x:fgColor rgb="FFCFE2F3"/>
      </x:patternFill>
    </x:fill>
    <x:fill>
      <x:patternFill patternType="solid">
        <x:fgColor rgb="FF00FF00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CEE1F1"/>
      </x:patternFill>
    </x:fill>
  </x:fills>
  <x:borders count="40">
    <x:border/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thick">
        <x:color rgb="FF000000"/>
      </x:top>
      <x:bottom style="thick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thick">
        <x:color rgb="FF000000"/>
      </x:left>
      <x:right style="thick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ck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thin">
        <x:color rgb="FF000000"/>
      </x:top>
      <x:bottom style="double">
        <x:color rgb="FF000000"/>
      </x:bottom>
    </x:border>
    <x:border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double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</x:border>
    <x:border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B5B5B5"/>
      </x:left>
      <x:right style="thin">
        <x:color rgb="FFB5B5B5"/>
      </x:right>
      <x:top style="thin">
        <x:color rgb="FFB5B5B5"/>
      </x:top>
      <x:bottom style="thin">
        <x:color rgb="FFB5B5B5"/>
      </x:bottom>
    </x:border>
  </x:borders>
  <x:cellStyleXfs count="1">
    <x:xf numFmtId="0" fontId="0" fillId="0" borderId="0" applyFont="1" applyAlignment="1"/>
  </x:cellStyleXfs>
  <x:cellXfs count="163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0" fontId="1" fillId="2" borderId="0" xfId="0" applyFont="1" applyFill="1" applyAlignment="1"/>
    <x:xf numFmtId="164" fontId="1" fillId="0" borderId="0" xfId="0" applyNumberFormat="1" applyFont="1" applyAlignment="1"/>
    <x:xf numFmtId="0" fontId="2" fillId="3" borderId="1" xfId="0" applyFont="1" applyFill="1" applyBorder="1" applyAlignment="1"/>
    <x:xf numFmtId="0" fontId="2" fillId="3" borderId="2" xfId="0" applyFont="1" applyFill="1" applyBorder="1" applyAlignment="1"/>
    <x:xf numFmtId="0" fontId="2" fillId="3" borderId="3" xfId="0" applyFont="1" applyFill="1" applyBorder="1" applyAlignment="1">
      <x:alignment horizontal="center"/>
    </x:xf>
    <x:xf numFmtId="0" fontId="2" fillId="3" borderId="2" xfId="0" applyFont="1" applyFill="1" applyBorder="1" applyAlignment="1">
      <x:alignment horizontal="center"/>
    </x:xf>
    <x:xf numFmtId="0" fontId="2" fillId="3" borderId="4" xfId="0" applyFont="1" applyFill="1" applyBorder="1" applyAlignment="1">
      <x:alignment horizontal="center"/>
    </x:xf>
    <x:xf numFmtId="165" fontId="1" fillId="0" borderId="0" xfId="0" applyNumberFormat="1" applyFont="1" applyAlignment="1"/>
    <x:xf numFmtId="0" fontId="2" fillId="3" borderId="5" xfId="0" applyFont="1" applyFill="1" applyBorder="1" applyAlignment="1">
      <x:alignment horizontal="center"/>
    </x:xf>
    <x:xf numFmtId="0" fontId="2" fillId="3" borderId="6" xfId="0" applyFont="1" applyFill="1" applyBorder="1" applyAlignment="1">
      <x:alignment horizontal="center"/>
    </x:xf>
    <x:xf numFmtId="0" fontId="2" fillId="3" borderId="7" xfId="0" applyFont="1" applyFill="1" applyBorder="1" applyAlignment="1">
      <x:alignment horizontal="center"/>
    </x:xf>
    <x:xf numFmtId="0" fontId="1" fillId="4" borderId="0" xfId="0" applyFont="1" applyFill="1" applyAlignment="1"/>
    <x:xf numFmtId="0" fontId="2" fillId="3" borderId="8" xfId="0" applyFont="1" applyFill="1" applyBorder="1" applyAlignment="1">
      <x:alignment horizontal="center"/>
    </x:xf>
    <x:xf numFmtId="0" fontId="3" fillId="0" borderId="9" xfId="0" applyFont="1" applyBorder="1" applyAlignment="1">
      <x:alignment horizontal="left" wrapText="1"/>
    </x:xf>
    <x:xf numFmtId="0" fontId="3" fillId="0" borderId="10" xfId="0" applyFont="1" applyBorder="1" applyAlignment="1">
      <x:alignment horizontal="left" wrapText="1"/>
    </x:xf>
    <x:xf numFmtId="3" fontId="3" fillId="0" borderId="9" xfId="0" applyNumberFormat="1" applyFont="1" applyBorder="1" applyAlignment="1">
      <x:alignment horizontal="center" wrapText="1"/>
    </x:xf>
    <x:xf numFmtId="0" fontId="2" fillId="3" borderId="11" xfId="0" applyFont="1" applyFill="1" applyBorder="1" applyAlignment="1">
      <x:alignment horizontal="center"/>
    </x:xf>
    <x:xf numFmtId="166" fontId="3" fillId="0" borderId="12" xfId="0" applyNumberFormat="1" applyFont="1" applyBorder="1" applyAlignment="1">
      <x:alignment horizontal="center" wrapText="1"/>
    </x:xf>
    <x:xf numFmtId="3" fontId="3" fillId="0" borderId="13" xfId="0" applyNumberFormat="1" applyFont="1" applyBorder="1" applyAlignment="1">
      <x:alignment horizontal="center" wrapText="1"/>
    </x:xf>
    <x:xf numFmtId="166" fontId="3" fillId="0" borderId="14" xfId="0" applyNumberFormat="1" applyFont="1" applyBorder="1" applyAlignment="1">
      <x:alignment horizontal="center" wrapText="1"/>
    </x:xf>
    <x:xf numFmtId="166" fontId="4" fillId="0" borderId="12" xfId="0" applyNumberFormat="1" applyFont="1" applyBorder="1" applyAlignment="1">
      <x:alignment horizontal="center"/>
    </x:xf>
    <x:xf numFmtId="3" fontId="4" fillId="0" borderId="15" xfId="0" applyNumberFormat="1" applyFont="1" applyBorder="1" applyAlignment="1">
      <x:alignment horizontal="center"/>
    </x:xf>
    <x:xf numFmtId="0" fontId="3" fillId="0" borderId="16" xfId="0" applyFont="1" applyBorder="1" applyAlignment="1">
      <x:alignment horizontal="left" wrapText="1"/>
    </x:xf>
    <x:xf numFmtId="3" fontId="4" fillId="0" borderId="17" xfId="0" applyNumberFormat="1" applyFont="1" applyBorder="1" applyAlignment="1">
      <x:alignment horizontal="center"/>
    </x:xf>
    <x:xf numFmtId="166" fontId="4" fillId="0" borderId="18" xfId="0" applyNumberFormat="1" applyFont="1" applyBorder="1" applyAlignment="1">
      <x:alignment horizontal="center"/>
    </x:xf>
    <x:xf numFmtId="167" fontId="3" fillId="0" borderId="12" xfId="0" applyNumberFormat="1" applyFont="1" applyBorder="1" applyAlignment="1">
      <x:alignment horizontal="center" wrapText="1"/>
    </x:xf>
    <x:xf numFmtId="166" fontId="4" fillId="0" borderId="14" xfId="0" applyNumberFormat="1" applyFont="1" applyBorder="1" applyAlignment="1">
      <x:alignment horizontal="center"/>
    </x:xf>
    <x:xf numFmtId="167" fontId="3" fillId="0" borderId="18" xfId="0" applyNumberFormat="1" applyFont="1" applyBorder="1" applyAlignment="1">
      <x:alignment horizontal="center" wrapText="1"/>
    </x:xf>
    <x:xf numFmtId="0" fontId="1" fillId="0" borderId="0" xfId="0" applyFont="1" applyAlignment="1"/>
    <x:xf numFmtId="0" fontId="3" fillId="0" borderId="19" xfId="0" applyFont="1" applyBorder="1" applyAlignment="1">
      <x:alignment horizontal="left" wrapText="1"/>
    </x:xf>
    <x:xf numFmtId="167" fontId="4" fillId="0" borderId="18" xfId="0" applyNumberFormat="1" applyFont="1" applyBorder="1" applyAlignment="1">
      <x:alignment horizontal="center"/>
    </x:xf>
    <x:xf numFmtId="166" fontId="3" fillId="0" borderId="20" xfId="0" applyNumberFormat="1" applyFont="1" applyBorder="1" applyAlignment="1">
      <x:alignment horizontal="center" wrapText="1"/>
    </x:xf>
    <x:xf numFmtId="167" fontId="4" fillId="0" borderId="21" xfId="0" applyNumberFormat="1" applyFont="1" applyBorder="1" applyAlignment="1">
      <x:alignment horizontal="center"/>
    </x:xf>
    <x:xf numFmtId="166" fontId="3" fillId="0" borderId="22" xfId="0" applyNumberFormat="1" applyFont="1" applyBorder="1" applyAlignment="1">
      <x:alignment horizontal="center" wrapText="1"/>
    </x:xf>
    <x:xf numFmtId="167" fontId="4" fillId="0" borderId="23" xfId="0" applyNumberFormat="1" applyFont="1" applyBorder="1" applyAlignment="1">
      <x:alignment horizontal="center"/>
    </x:xf>
    <x:xf numFmtId="166" fontId="4" fillId="0" borderId="20" xfId="0" applyNumberFormat="1" applyFont="1" applyBorder="1" applyAlignment="1">
      <x:alignment horizontal="center"/>
    </x:xf>
    <x:xf numFmtId="167" fontId="4" fillId="0" borderId="12" xfId="0" applyNumberFormat="1" applyFont="1" applyBorder="1" applyAlignment="1">
      <x:alignment horizontal="center"/>
    </x:xf>
    <x:xf numFmtId="166" fontId="4" fillId="0" borderId="24" xfId="0" applyNumberFormat="1" applyFont="1" applyBorder="1" applyAlignment="1">
      <x:alignment horizontal="center"/>
    </x:xf>
    <x:xf numFmtId="0" fontId="3" fillId="0" borderId="25" xfId="0" applyFont="1" applyBorder="1" applyAlignment="1">
      <x:alignment horizontal="left" wrapText="1"/>
    </x:xf>
    <x:xf numFmtId="166" fontId="4" fillId="0" borderId="22" xfId="0" applyNumberFormat="1" applyFont="1" applyBorder="1" applyAlignment="1">
      <x:alignment horizontal="center"/>
    </x:xf>
    <x:xf numFmtId="167" fontId="3" fillId="0" borderId="26" xfId="0" applyNumberFormat="1" applyFont="1" applyBorder="1" applyAlignment="1">
      <x:alignment horizontal="center" wrapText="1"/>
    </x:xf>
    <x:xf numFmtId="167" fontId="3" fillId="0" borderId="27" xfId="0" applyNumberFormat="1" applyFont="1" applyBorder="1" applyAlignment="1">
      <x:alignment horizontal="center" wrapText="1"/>
    </x:xf>
    <x:xf numFmtId="166" fontId="4" fillId="0" borderId="12" xfId="0" applyNumberFormat="1" applyFont="1" applyBorder="1" applyAlignment="1">
      <x:alignment horizontal="center"/>
    </x:xf>
    <x:xf numFmtId="167" fontId="4" fillId="0" borderId="27" xfId="0" applyNumberFormat="1" applyFont="1" applyBorder="1" applyAlignment="1">
      <x:alignment horizontal="center"/>
    </x:xf>
    <x:xf numFmtId="166" fontId="4" fillId="0" borderId="14" xfId="0" applyNumberFormat="1" applyFont="1" applyBorder="1" applyAlignment="1">
      <x:alignment horizontal="center"/>
    </x:xf>
    <x:xf numFmtId="167" fontId="4" fillId="0" borderId="28" xfId="0" applyNumberFormat="1" applyFont="1" applyBorder="1" applyAlignment="1">
      <x:alignment horizontal="center"/>
    </x:xf>
    <x:xf numFmtId="166" fontId="4" fillId="0" borderId="20" xfId="0" applyNumberFormat="1" applyFont="1" applyBorder="1" applyAlignment="1">
      <x:alignment horizontal="center"/>
    </x:xf>
    <x:xf numFmtId="167" fontId="4" fillId="0" borderId="29" xfId="0" applyNumberFormat="1" applyFont="1" applyBorder="1" applyAlignment="1">
      <x:alignment horizontal="center"/>
    </x:xf>
    <x:xf numFmtId="0" fontId="5" fillId="0" borderId="0" xfId="0" applyFont="1" applyAlignment="1"/>
    <x:xf numFmtId="166" fontId="4" fillId="0" borderId="22" xfId="0" applyNumberFormat="1" applyFont="1" applyBorder="1" applyAlignment="1">
      <x:alignment horizontal="center"/>
    </x:xf>
    <x:xf numFmtId="167" fontId="4" fillId="0" borderId="26" xfId="0" applyNumberFormat="1" applyFont="1" applyBorder="1" applyAlignment="1">
      <x:alignment horizontal="center"/>
    </x:xf>
    <x:xf numFmtId="0" fontId="3" fillId="0" borderId="30" xfId="0" applyFont="1" applyBorder="1" applyAlignment="1">
      <x:alignment horizontal="left" wrapText="1"/>
    </x:xf>
    <x:xf numFmtId="166" fontId="3" fillId="0" borderId="31" xfId="0" applyNumberFormat="1" applyFont="1" applyBorder="1" applyAlignment="1">
      <x:alignment horizontal="center" wrapText="1"/>
    </x:xf>
    <x:xf numFmtId="166" fontId="3" fillId="0" borderId="32" xfId="0" applyNumberFormat="1" applyFont="1" applyBorder="1" applyAlignment="1">
      <x:alignment horizontal="center" wrapText="1"/>
    </x:xf>
    <x:xf numFmtId="166" fontId="4" fillId="0" borderId="31" xfId="0" applyNumberFormat="1" applyFont="1" applyBorder="1" applyAlignment="1">
      <x:alignment horizontal="center"/>
    </x:xf>
    <x:xf numFmtId="166" fontId="4" fillId="0" borderId="33" xfId="0" applyNumberFormat="1" applyFont="1" applyBorder="1" applyAlignment="1">
      <x:alignment horizontal="center"/>
    </x:xf>
    <x:xf numFmtId="166" fontId="4" fillId="0" borderId="32" xfId="0" applyNumberFormat="1" applyFont="1" applyBorder="1" applyAlignment="1">
      <x:alignment horizontal="center"/>
    </x:xf>
    <x:xf numFmtId="0" fontId="6" fillId="0" borderId="0" xfId="0" applyFont="1" applyAlignment="1"/>
    <x:xf numFmtId="0" fontId="3" fillId="0" borderId="34" xfId="0" applyFont="1" applyBorder="1" applyAlignment="1">
      <x:alignment horizontal="left" wrapText="1"/>
    </x:xf>
    <x:xf numFmtId="166" fontId="3" fillId="0" borderId="35" xfId="0" applyNumberFormat="1" applyFont="1" applyBorder="1" applyAlignment="1">
      <x:alignment horizontal="center" wrapText="1"/>
    </x:xf>
    <x:xf numFmtId="166" fontId="3" fillId="0" borderId="36" xfId="0" applyNumberFormat="1" applyFont="1" applyBorder="1" applyAlignment="1">
      <x:alignment horizontal="center" wrapText="1"/>
    </x:xf>
    <x:xf numFmtId="166" fontId="4" fillId="0" borderId="35" xfId="0" applyNumberFormat="1" applyFont="1" applyBorder="1" applyAlignment="1">
      <x:alignment horizontal="center"/>
    </x:xf>
    <x:xf numFmtId="166" fontId="4" fillId="0" borderId="37" xfId="0" applyNumberFormat="1" applyFont="1" applyBorder="1" applyAlignment="1">
      <x:alignment horizontal="center"/>
    </x:xf>
    <x:xf numFmtId="166" fontId="4" fillId="0" borderId="36" xfId="0" applyNumberFormat="1" applyFont="1" applyBorder="1" applyAlignment="1">
      <x:alignment horizontal="center"/>
    </x:xf>
    <x:xf numFmtId="0" fontId="2" fillId="5" borderId="2" xfId="0" applyFont="1" applyFill="1" applyBorder="1" applyAlignment="1"/>
    <x:xf numFmtId="0" fontId="2" fillId="5" borderId="4" xfId="0" applyFont="1" applyFill="1" applyBorder="1" applyAlignment="1">
      <x:alignment horizontal="center"/>
    </x:xf>
    <x:xf numFmtId="0" fontId="2" fillId="5" borderId="11" xfId="0" applyFont="1" applyFill="1" applyBorder="1" applyAlignment="1">
      <x:alignment horizontal="center"/>
    </x:xf>
    <x:xf numFmtId="0" fontId="2" fillId="5" borderId="5" xfId="0" applyFont="1" applyFill="1" applyBorder="1" applyAlignment="1">
      <x:alignment horizontal="center"/>
    </x:xf>
    <x:xf numFmtId="167" fontId="3" fillId="0" borderId="13" xfId="0" applyNumberFormat="1" applyFont="1" applyBorder="1" applyAlignment="1">
      <x:alignment horizontal="center" wrapText="1"/>
    </x:xf>
    <x:xf numFmtId="167" fontId="3" fillId="0" borderId="38" xfId="0" applyNumberFormat="1" applyFont="1" applyBorder="1" applyAlignment="1">
      <x:alignment horizontal="center" wrapText="1"/>
    </x:xf>
    <x:xf numFmtId="167" fontId="4" fillId="0" borderId="38" xfId="0" applyNumberFormat="1" applyFont="1" applyBorder="1" applyAlignment="1">
      <x:alignment horizontal="center"/>
    </x:xf>
    <x:xf numFmtId="167" fontId="4" fillId="0" borderId="15" xfId="0" applyNumberFormat="1" applyFont="1" applyBorder="1" applyAlignment="1">
      <x:alignment horizontal="center"/>
    </x:xf>
    <x:xf numFmtId="0" fontId="2" fillId="5" borderId="7" xfId="0" applyFont="1" applyFill="1" applyBorder="1" applyAlignment="1">
      <x:alignment horizontal="center"/>
    </x:xf>
    <x:xf numFmtId="167" fontId="4" fillId="0" borderId="17" xfId="0" applyNumberFormat="1" applyFont="1" applyBorder="1" applyAlignment="1">
      <x:alignment horizontal="center"/>
    </x:xf>
    <x:xf numFmtId="167" fontId="4" fillId="0" borderId="13" xfId="0" applyNumberFormat="1" applyFont="1" applyBorder="1" applyAlignment="1">
      <x:alignment horizontal="center"/>
    </x:xf>
    <x:xf numFmtId="168" fontId="3" fillId="0" borderId="13" xfId="0" applyNumberFormat="1" applyFont="1" applyBorder="1" applyAlignment="1">
      <x:alignment horizontal="center" wrapText="1"/>
    </x:xf>
    <x:xf numFmtId="168" fontId="4" fillId="0" borderId="15" xfId="0" applyNumberFormat="1" applyFont="1" applyBorder="1" applyAlignment="1">
      <x:alignment horizontal="center"/>
    </x:xf>
    <x:xf numFmtId="0" fontId="2" fillId="0" borderId="0" xfId="0" applyFont="1" applyAlignment="1">
      <x:alignment horizontal="center" vertical="center" wrapText="0"/>
    </x:xf>
    <x:xf numFmtId="0" fontId="1" fillId="0" borderId="33" xfId="0" applyFont="1" applyBorder="1" applyAlignment="1">
      <x:alignment vertical="center" wrapText="0"/>
    </x:xf>
    <x:xf numFmtId="0" fontId="1" fillId="0" borderId="33" xfId="0" applyFont="1" applyBorder="1" applyAlignment="1">
      <x:alignment horizontal="center" vertical="center" wrapText="0"/>
    </x:xf>
    <x:xf numFmtId="10" fontId="1" fillId="0" borderId="33" xfId="0" applyNumberFormat="1" applyFont="1" applyBorder="1" applyAlignment="1">
      <x:alignment horizontal="center" vertical="center" wrapText="0"/>
    </x:xf>
    <x:xf numFmtId="0" fontId="1" fillId="2" borderId="33" xfId="0" applyFont="1" applyFill="1" applyBorder="1" applyAlignment="1">
      <x:alignment vertical="center" wrapText="0"/>
    </x:xf>
    <x:xf numFmtId="0" fontId="1" fillId="2" borderId="33" xfId="0" applyFont="1" applyFill="1" applyBorder="1" applyAlignment="1">
      <x:alignment horizontal="center" vertical="center" wrapText="0"/>
    </x:xf>
    <x:xf numFmtId="0" fontId="1" fillId="0" borderId="33" xfId="0" applyFont="1" applyBorder="1" applyAlignment="1">
      <x:alignment horizontal="center" vertical="center" wrapText="0"/>
    </x:xf>
    <x:xf numFmtId="49" fontId="1" fillId="0" borderId="33" xfId="0" applyNumberFormat="1" applyFont="1" applyBorder="1" applyAlignment="1">
      <x:alignment vertical="center" wrapText="0"/>
    </x:xf>
    <x:xf numFmtId="49" fontId="1" fillId="2" borderId="33" xfId="0" applyNumberFormat="1" applyFont="1" applyFill="1" applyBorder="1" applyAlignment="1">
      <x:alignment vertical="center" wrapText="0"/>
    </x:xf>
    <x:xf numFmtId="49" fontId="1" fillId="0" borderId="33" xfId="0" applyNumberFormat="1" applyFont="1" applyBorder="1" applyAlignment="1">
      <x:alignment vertical="center" wrapText="0"/>
    </x:xf>
    <x:xf numFmtId="0" fontId="1" fillId="0" borderId="33" xfId="0" applyFont="1" applyBorder="1" applyAlignment="1">
      <x:alignment horizontal="center" vertical="center" wrapText="0"/>
    </x:xf>
    <x:xf numFmtId="0" fontId="1" fillId="0" borderId="33" xfId="0" applyFont="1" applyBorder="1"/>
    <x:xf numFmtId="0" fontId="7" fillId="2" borderId="0" xfId="0" applyNumberFormat="1" applyFont="1" applyFill="1" applyBorder="1"/>
    <x:xf numFmtId="0" fontId="7" fillId="6" borderId="0" xfId="0" applyNumberFormat="1" applyFont="1" applyFill="1" applyBorder="1"/>
    <x:xf numFmtId="200" fontId="3" fillId="0" borderId="12" xfId="0" applyNumberFormat="1" applyFont="1" applyFill="1" applyBorder="1" applyAlignment="1">
      <x:alignment horizontal="center" wrapText="1"/>
    </x:xf>
    <x:xf numFmtId="200" fontId="3" fillId="0" borderId="14" xfId="0" applyNumberFormat="1" applyFont="1" applyFill="1" applyBorder="1" applyAlignment="1">
      <x:alignment horizontal="center" wrapText="1"/>
    </x:xf>
    <x:xf numFmtId="200" fontId="4" fillId="0" borderId="12" xfId="0" applyNumberFormat="1" applyFont="1" applyFill="1" applyBorder="1" applyAlignment="1">
      <x:alignment horizontal="center"/>
    </x:xf>
    <x:xf numFmtId="200" fontId="4" fillId="0" borderId="18" xfId="0" applyNumberFormat="1" applyFont="1" applyFill="1" applyBorder="1" applyAlignment="1">
      <x:alignment horizontal="center"/>
    </x:xf>
    <x:xf numFmtId="200" fontId="4" fillId="0" borderId="14" xfId="0" applyNumberFormat="1" applyFont="1" applyFill="1" applyBorder="1" applyAlignment="1">
      <x:alignment horizontal="center"/>
    </x:xf>
    <x:xf numFmtId="200" fontId="3" fillId="0" borderId="20" xfId="0" applyNumberFormat="1" applyFont="1" applyFill="1" applyBorder="1" applyAlignment="1">
      <x:alignment horizontal="center" wrapText="1"/>
    </x:xf>
    <x:xf numFmtId="200" fontId="3" fillId="0" borderId="22" xfId="0" applyNumberFormat="1" applyFont="1" applyFill="1" applyBorder="1" applyAlignment="1">
      <x:alignment horizontal="center" wrapText="1"/>
    </x:xf>
    <x:xf numFmtId="200" fontId="4" fillId="0" borderId="20" xfId="0" applyNumberFormat="1" applyFont="1" applyFill="1" applyBorder="1" applyAlignment="1">
      <x:alignment horizontal="center"/>
    </x:xf>
    <x:xf numFmtId="200" fontId="4" fillId="0" borderId="24" xfId="0" applyNumberFormat="1" applyFont="1" applyFill="1" applyBorder="1" applyAlignment="1">
      <x:alignment horizontal="center"/>
    </x:xf>
    <x:xf numFmtId="200" fontId="4" fillId="0" borderId="22" xfId="0" applyNumberFormat="1" applyFont="1" applyFill="1" applyBorder="1" applyAlignment="1">
      <x:alignment horizontal="center"/>
    </x:xf>
    <x:xf numFmtId="200" fontId="3" fillId="0" borderId="31" xfId="0" applyNumberFormat="1" applyFont="1" applyFill="1" applyBorder="1" applyAlignment="1">
      <x:alignment horizontal="center" wrapText="1"/>
    </x:xf>
    <x:xf numFmtId="200" fontId="3" fillId="0" borderId="32" xfId="0" applyNumberFormat="1" applyFont="1" applyFill="1" applyBorder="1" applyAlignment="1">
      <x:alignment horizontal="center" wrapText="1"/>
    </x:xf>
    <x:xf numFmtId="200" fontId="4" fillId="0" borderId="31" xfId="0" applyNumberFormat="1" applyFont="1" applyFill="1" applyBorder="1" applyAlignment="1">
      <x:alignment horizontal="center"/>
    </x:xf>
    <x:xf numFmtId="200" fontId="4" fillId="0" borderId="33" xfId="0" applyNumberFormat="1" applyFont="1" applyFill="1" applyBorder="1" applyAlignment="1">
      <x:alignment horizontal="center"/>
    </x:xf>
    <x:xf numFmtId="200" fontId="4" fillId="0" borderId="32" xfId="0" applyNumberFormat="1" applyFont="1" applyFill="1" applyBorder="1" applyAlignment="1">
      <x:alignment horizontal="center"/>
    </x:xf>
    <x:xf numFmtId="200" fontId="3" fillId="0" borderId="35" xfId="0" applyNumberFormat="1" applyFont="1" applyFill="1" applyBorder="1" applyAlignment="1">
      <x:alignment horizontal="center" wrapText="1"/>
    </x:xf>
    <x:xf numFmtId="200" fontId="3" fillId="0" borderId="36" xfId="0" applyNumberFormat="1" applyFont="1" applyFill="1" applyBorder="1" applyAlignment="1">
      <x:alignment horizontal="center" wrapText="1"/>
    </x:xf>
    <x:xf numFmtId="200" fontId="4" fillId="0" borderId="35" xfId="0" applyNumberFormat="1" applyFont="1" applyFill="1" applyBorder="1" applyAlignment="1">
      <x:alignment horizontal="center"/>
    </x:xf>
    <x:xf numFmtId="200" fontId="4" fillId="0" borderId="37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bottom" wrapText="1"/>
    </x:xf>
    <x:xf numFmtId="0" fontId="3" fillId="0" borderId="0" xfId="0" applyNumberFormat="1" applyFont="1" applyFill="1" applyBorder="1" applyAlignment="1">
      <x:alignment vertical="bottom" wrapText="0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3" fillId="0" borderId="39" xfId="0" applyNumberFormat="1" applyFont="1" applyFill="1" applyBorder="1" applyAlignment="1">
      <x:alignment vertical="center" wrapText="1"/>
    </x:xf>
    <x:xf numFmtId="0" fontId="3" fillId="0" borderId="39" xfId="0" applyNumberFormat="1" applyFont="1" applyFill="1" applyBorder="1" applyAlignment="1">
      <x:alignment vertical="center" wrapText="0"/>
    </x:xf>
    <x:xf numFmtId="201" fontId="3" fillId="0" borderId="39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bottom" wrapText="0"/>
    </x:xf>
    <x:xf numFmtId="0" fontId="8" fillId="0" borderId="0" xfId="0" applyNumberFormat="1" applyFont="1" applyFill="1" applyBorder="1" applyAlignment="1">
      <x:alignment vertical="bottom" wrapText="0"/>
    </x:xf>
    <x:xf numFmtId="0" fontId="8" fillId="6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bottom" wrapText="0"/>
    </x:xf>
    <x:xf numFmtId="0" fontId="9" fillId="7" borderId="0" xfId="0" applyNumberFormat="1" applyFont="1" applyFill="1" applyBorder="1" applyAlignment="1">
      <x:alignment vertical="bottom" wrapText="0"/>
    </x:xf>
    <x:xf numFmtId="0" fontId="10" fillId="7" borderId="0" xfId="0" applyNumberFormat="1" applyFont="1" applyFill="1" applyBorder="1" applyAlignment="1">
      <x:alignment vertical="bottom" wrapText="0"/>
    </x:xf>
    <x:xf numFmtId="0" fontId="10" fillId="7" borderId="0" xfId="0" applyNumberFormat="1" applyFont="1" applyFill="1" applyBorder="1" applyAlignment="1">
      <x:alignment vertical="bottom" wrapText="1"/>
    </x:xf>
    <x:xf numFmtId="0" fontId="10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0"/>
    </x:xf>
    <x:xf numFmtId="202" fontId="9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166" fontId="3" fillId="0" borderId="13" xfId="0" applyNumberFormat="1" applyFont="1" applyFill="1" applyBorder="1" applyAlignment="1">
      <x:alignment horizontal="center" wrapText="1"/>
    </x:xf>
    <x:xf numFmtId="166" fontId="3" fillId="0" borderId="38" xfId="0" applyNumberFormat="1" applyFont="1" applyFill="1" applyBorder="1" applyAlignment="1">
      <x:alignment horizontal="center" wrapText="1"/>
    </x:xf>
    <x:xf numFmtId="166" fontId="4" fillId="0" borderId="38" xfId="0" applyNumberFormat="1" applyFont="1" applyFill="1" applyBorder="1" applyAlignment="1">
      <x:alignment horizontal="center"/>
    </x:xf>
    <x:xf numFmtId="166" fontId="4" fillId="0" borderId="15" xfId="0" applyNumberFormat="1" applyFont="1" applyFill="1" applyBorder="1" applyAlignment="1">
      <x:alignment horizontal="center"/>
    </x:xf>
    <x:xf numFmtId="166" fontId="4" fillId="0" borderId="17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 wrapText="1"/>
    </x:xf>
    <x:xf numFmtId="203" fontId="9" fillId="0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bottom" wrapText="0"/>
    </x:xf>
    <x:xf numFmtId="203" fontId="0" fillId="0" borderId="0" xfId="0" applyNumberFormat="1" applyFont="1" applyFill="1" applyBorder="1" applyAlignment="1">
      <x:alignment vertical="bottom" wrapText="0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204" fontId="3" fillId="0" borderId="13" xfId="0" applyNumberFormat="1" applyFont="1" applyFill="1" applyBorder="1" applyAlignment="1">
      <x:alignment horizontal="center" wrapText="1"/>
    </x:xf>
    <x:xf numFmtId="204" fontId="3" fillId="0" borderId="38" xfId="0" applyNumberFormat="1" applyFont="1" applyFill="1" applyBorder="1" applyAlignment="1">
      <x:alignment horizontal="center" wrapText="1"/>
    </x:xf>
    <x:xf numFmtId="204" fontId="4" fillId="0" borderId="38" xfId="0" applyNumberFormat="1" applyFont="1" applyFill="1" applyBorder="1" applyAlignment="1">
      <x:alignment horizontal="center"/>
    </x:xf>
    <x:xf numFmtId="204" fontId="4" fillId="0" borderId="15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 applyAlignment="1">
      <x:alignment vertical="bottom" wrapText="0"/>
    </x:xf>
    <x:xf numFmtId="204" fontId="2" fillId="5" borderId="7" xfId="0" applyNumberFormat="1" applyFont="1" applyFill="1" applyBorder="1" applyAlignment="1">
      <x:alignment horizontal="center"/>
    </x:xf>
    <x:xf numFmtId="204" fontId="2" fillId="5" borderId="4" xfId="0" applyNumberFormat="1" applyFont="1" applyFill="1" applyBorder="1" applyAlignment="1">
      <x:alignment horizontal="center" wrapText="1"/>
    </x:xf>
    <x:xf numFmtId="204" fontId="2" fillId="5" borderId="5" xfId="0" applyNumberFormat="1" applyFont="1" applyFill="1" applyBorder="1" applyAlignment="1">
      <x:alignment horizontal="center" wrapText="1"/>
    </x:xf>
    <x:xf numFmtId="204" fontId="4" fillId="0" borderId="17" xfId="0" applyNumberFormat="1" applyFont="1" applyFill="1" applyBorder="1" applyAlignment="1">
      <x:alignment horizontal="center"/>
    </x:xf>
    <x:xf numFmtId="204" fontId="4" fillId="0" borderId="13" xfId="0" applyNumberFormat="1" applyFont="1" applyFill="1" applyBorder="1" applyAlignment="1">
      <x:alignment horizontal="center"/>
    </x:xf>
    <x:xf numFmtId="0" fontId="2" fillId="5" borderId="11" xfId="0" applyNumberFormat="1" applyFont="1" applyFill="1" applyBorder="1" applyAlignment="1">
      <x:alignment horizontal="center" wrapText="1"/>
    </x:xf>
    <x:xf numFmtId="202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0affdfd0541c2" /><Relationship Type="http://schemas.openxmlformats.org/officeDocument/2006/relationships/theme" Target="/xl/theme/theme1.xml" Id="Rbacb8b4409a247ac" /><Relationship Type="http://schemas.openxmlformats.org/officeDocument/2006/relationships/sharedStrings" Target="/xl/sharedStrings.xml" Id="R322ea9f4546b46c0" /><Relationship Type="http://schemas.openxmlformats.org/officeDocument/2006/relationships/worksheet" Target="/xl/worksheets/sheet1.xml" Id="R660530177c874e51" /><Relationship Type="http://schemas.openxmlformats.org/officeDocument/2006/relationships/worksheet" Target="/xl/worksheets/sheet2.xml" Id="R45ea65624fbf449b" /><Relationship Type="http://schemas.openxmlformats.org/officeDocument/2006/relationships/worksheet" Target="/xl/worksheets/sheet3.xml" Id="R2dc114c68ba0404a" /><Relationship Type="http://schemas.openxmlformats.org/officeDocument/2006/relationships/worksheet" Target="/xl/worksheets/sheet4.xml" Id="Ra213995e68f34b08" /><Relationship Type="http://schemas.openxmlformats.org/officeDocument/2006/relationships/worksheet" Target="/xl/worksheets/sheet5.xml" Id="Rbc6d605184fe4f59" /><Relationship Type="http://schemas.openxmlformats.org/officeDocument/2006/relationships/worksheet" Target="/xl/worksheets/sheet6.xml" Id="R810db042040a4ffe" /><Relationship Type="http://schemas.openxmlformats.org/officeDocument/2006/relationships/worksheet" Target="/xl/worksheets/sheet7.xml" Id="R3e5d2496a2454b9b" /><Relationship Type="http://schemas.openxmlformats.org/officeDocument/2006/relationships/worksheet" Target="/xl/worksheets/sheet8.xml" Id="R1c5d638d56814b05" /><Relationship Type="http://schemas.openxmlformats.org/officeDocument/2006/relationships/worksheet" Target="/xl/worksheets/sheet9.xml" Id="Rad47d629788347e8" /><Relationship Type="http://schemas.openxmlformats.org/officeDocument/2006/relationships/worksheet" Target="/xl/worksheets/sheet10.xml" Id="R29e9f837d4f84647" /><Relationship Type="http://schemas.openxmlformats.org/officeDocument/2006/relationships/worksheet" Target="/xl/worksheets/sheet11.xml" Id="Ra01e4de76dbc4a8a" /><Relationship Type="http://schemas.openxmlformats.org/officeDocument/2006/relationships/worksheet" Target="/xl/worksheets/sheet12.xml" Id="R22eebcb0c1804f8b" /><Relationship Type="http://schemas.openxmlformats.org/officeDocument/2006/relationships/worksheet" Target="/xl/worksheets/sheet13.xml" Id="R9bc0515c2a2543b5" /><Relationship Type="http://schemas.openxmlformats.org/officeDocument/2006/relationships/worksheet" Target="/xl/worksheets/sheet14.xml" Id="R88dbd9510b6d4461" /><Relationship Type="http://schemas.openxmlformats.org/officeDocument/2006/relationships/worksheet" Target="/xl/worksheets/sheet15.xml" Id="R4b2cefb69e1144c2" /><Relationship Type="http://schemas.openxmlformats.org/officeDocument/2006/relationships/worksheet" Target="/xl/worksheets/sheet16.xml" Id="Rf5a23574f39b4823" /><Relationship Type="http://schemas.openxmlformats.org/officeDocument/2006/relationships/worksheet" Target="/xl/worksheets/sheet17.xml" Id="Rd3ea21e7c2d24c1c" /><Relationship Type="http://schemas.openxmlformats.org/officeDocument/2006/relationships/worksheet" Target="/xl/worksheets/sheet18.xml" Id="Rb57b32076dfc4989" /></Relationships>
</file>

<file path=xl/tables/table1.xml><?xml version="1.0" encoding="utf-8"?>
<x:table xmlns:x="http://schemas.openxmlformats.org/spreadsheetml/2006/main" id="1" name="Economic_Event_Schedule" displayName="Economic_Event_Schedule" ref="B2:E17">
  <x:tableColumns count="4">
    <x:tableColumn id="1" name="Date"/>
    <x:tableColumn id="2" name="Data Release"/>
    <x:tableColumn id="3" name="Period"/>
    <x:tableColumn id="4" name="Last"/>
  </x:tableColumns>
  <x:tableStyleInfo name="Calendar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bls.gov/news.release/pdf/cpi.pdf" TargetMode="External" Id="Rd8d175e3778c45cd" /><Relationship Type="http://schemas.openxmlformats.org/officeDocument/2006/relationships/hyperlink" Target="https://econvitals.org/inflation/" TargetMode="External" Id="Racace08e0ceb4c29" /><Relationship Type="http://schemas.openxmlformats.org/officeDocument/2006/relationships/hyperlink" Target="https://fred.stlouisfed.org/graph/?g=1wX9M" TargetMode="External" Id="R07f20fa9533c4f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econvitals.org/inflation/" TargetMode="External" Id="R3b59792d3a524e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asprices.aaa.com/" TargetMode="External" Id="Rf70f9895be5f4a8f" /><Relationship Type="http://schemas.openxmlformats.org/officeDocument/2006/relationships/hyperlink" Target="https://www.google.com/url?q=https://www.eia.gov/petroleum/gasdiesel/&amp;sa=D&amp;source=docs&amp;ust=1790188859188305&amp;usg=AOvVaw39bEYTQiAQAHt68sXAFlPV" TargetMode="External" Id="R4090cee6c24d42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bls.gov/news.release/pdf/empsit.pdf" TargetMode="External" Id="Rc2468f5d7adb4d81" /><Relationship Type="http://schemas.openxmlformats.org/officeDocument/2006/relationships/hyperlink" Target="https://econvitals.org/labor/" TargetMode="External" Id="R33e4eb1e64aa4fa6" /><Relationship Type="http://schemas.openxmlformats.org/officeDocument/2006/relationships/hyperlink" Target="https://fred.stlouisfed.org/series/PAYEMS" TargetMode="External" Id="R3adcecf241a74099" /><Relationship Type="http://schemas.openxmlformats.org/officeDocument/2006/relationships/hyperlink" Target="https://fred.stlouisfed.org/series/MANEMP" TargetMode="External" Id="R79906299fc8d43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econvitals.org/calendar/" TargetMode="External" Id="R50e6f030f81948b3" /><Relationship Type="http://schemas.openxmlformats.org/officeDocument/2006/relationships/table" Target="/xl/tables/table1.xml" Id="R4dffbf394f4b47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https://fred.stlouisfed.org/graph/?g=1EdfQ" TargetMode="External" Id="R5a18c5c5fcce43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fred.stlouisfed.org/graph/?g=1tzuA" TargetMode="External" Id="R73d8ba548f2c4119" /><Relationship Type="http://schemas.openxmlformats.org/officeDocument/2006/relationships/hyperlink" Target="https://fred.stlouisfed.org/graph/?g=1vp6J" TargetMode="External" Id="R08da82daaa4942e0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4" max="4" width="16" customWidth="1"/>
    <x:col min="7" max="7" width="9.75" customWidth="1"/>
    <x:col min="11" max="11" width="25" hidden="0" customWidth="1"/>
    <x:col min="12" max="12" width="25" hidden="0" customWidth="1"/>
  </x:cols>
  <x:sheetData>
    <x:row r="1">
      <x:c r="A1" s="92" t="str">
        <x:v>CPI refreshed 2026-09-23</x:v>
      </x:c>
    </x:row>
    <x:row r="2" ht="32" customHeight="1">
      <x:c r="B2" s="4"/>
      <x:c r="C2" s="6" t="s">
        <x:v>0</x:v>
      </x:c>
      <x:c r="D2" s="11" t="s">
        <x:v>1</x:v>
      </x:c>
      <x:c r="E2" s="6" t="s">
        <x:v>2</x:v>
      </x:c>
      <x:c r="F2" s="14" t="s">
        <x:v>3</x:v>
      </x:c>
      <x:c r="G2" s="11" t="s">
        <x:v>4</x:v>
      </x:c>
      <x:c r="H2" s="113" t="str">
        <x:v>2023 Dec/Dec</x:v>
      </x:c>
      <x:c r="I2" s="114" t="str">
        <x:v>2024 Dec/Dec</x:v>
      </x:c>
      <x:c r="K2" t="str">
        <x:v>Period</x:v>
      </x:c>
      <x:c r="L2" t="str">
        <x:v>Refresh status</x:v>
      </x:c>
    </x:row>
    <x:row r="3">
      <x:c r="B3" s="16" t="s">
        <x:v>5</x:v>
      </x:c>
      <x:c r="C3" s="93" t="n">
        <x:v>0.3960181843858157</x:v>
      </x:c>
      <x:c r="D3" s="94" t="n">
        <x:v>4.857104899806686</x:v>
      </x:c>
      <x:c r="E3" s="95" t="n">
        <x:v>0.18217169162264568</x:v>
      </x:c>
      <x:c r="F3" s="96" t="n">
        <x:v>4.1158924155549</x:v>
      </x:c>
      <x:c r="G3" s="97" t="n">
        <x:v>3.353016322755642</x:v>
      </x:c>
      <x:c r="H3" s="95" t="n">
        <x:v>3.3159099427102934</x:v>
      </x:c>
      <x:c r="I3" s="97" t="n">
        <x:v>2.870690967509981</x:v>
      </x:c>
      <x:c r="K3" t="str">
        <x:v>2026-08-01</x:v>
      </x:c>
      <x:c r="L3" t="str">
        <x:v>Retrieved</x:v>
      </x:c>
    </x:row>
    <x:row r="4">
      <x:c r="B4" s="31" t="s">
        <x:v>6</x:v>
      </x:c>
      <x:c r="C4" s="98" t="n">
        <x:v>0.2897956881014574</x:v>
      </x:c>
      <x:c r="D4" s="99" t="n">
        <x:v>3.533515006346155</x:v>
      </x:c>
      <x:c r="E4" s="100" t="n">
        <x:v>1.9708388578664415</x:v>
      </x:c>
      <x:c r="F4" s="101" t="n">
        <x:v>2.566694738738917</x:v>
      </x:c>
      <x:c r="G4" s="102" t="n">
        <x:v>2.4461631786472537</x:v>
      </x:c>
      <x:c r="H4" s="100" t="n">
        <x:v>3.9154727698627045</x:v>
      </x:c>
      <x:c r="I4" s="102" t="n">
        <x:v>3.2133335461932644</x:v>
      </x:c>
      <x:c r="K4" t="str">
        <x:v>2026-08-01</x:v>
      </x:c>
      <x:c r="L4" t="str">
        <x:v>Retrieved</x:v>
      </x:c>
    </x:row>
    <x:row r="5">
      <x:c r="B5" s="16" t="s">
        <x:v>7</x:v>
      </x:c>
      <x:c r="C5" s="93" t="n">
        <x:v>0.10550661055541699</x:v>
      </x:c>
      <x:c r="D5" s="94" t="n">
        <x:v>1.2734521118872966</x:v>
      </x:c>
      <x:c r="E5" s="95" t="n">
        <x:v>0.87169976115129</x:v>
      </x:c>
      <x:c r="F5" s="96" t="n">
        <x:v>0.4888667783077727</x:v>
      </x:c>
      <x:c r="G5" s="97" t="n">
        <x:v>0.6599216005945818</x:v>
      </x:c>
      <x:c r="H5" s="95" t="n">
        <x:v>0.10726833354424148</x:v>
      </x:c>
      <x:c r="I5" s="97" t="n">
        <x:v>-0.6688057212687393</x:v>
      </x:c>
      <x:c r="K5" t="str">
        <x:v>2026-08-01</x:v>
      </x:c>
      <x:c r="L5" t="str">
        <x:v>Retrieved</x:v>
      </x:c>
    </x:row>
    <x:row r="6">
      <x:c r="B6" s="31" t="s">
        <x:v>8</x:v>
      </x:c>
      <x:c r="C6" s="98" t="n">
        <x:v>0.3274119421205812</x:v>
      </x:c>
      <x:c r="D6" s="99" t="n">
        <x:v>4.000472244461251</x:v>
      </x:c>
      <x:c r="E6" s="100" t="n">
        <x:v>2.374268870865115</x:v>
      </x:c>
      <x:c r="F6" s="101" t="n">
        <x:v>3.261007469358157</x:v>
      </x:c>
      <x:c r="G6" s="102" t="n">
        <x:v>3.0164706532959773</x:v>
      </x:c>
      <x:c r="H6" s="100" t="n">
        <x:v>5.313665192161099</x:v>
      </x:c>
      <x:c r="I6" s="102" t="n">
        <x:v>4.4485041572389195</x:v>
      </x:c>
      <x:c r="K6" t="str">
        <x:v>2026-08-01</x:v>
      </x:c>
      <x:c r="L6" t="str">
        <x:v>Retrieved</x:v>
      </x:c>
    </x:row>
    <x:row r="7">
      <x:c r="B7" s="16" t="s">
        <x:v>9</x:v>
      </x:c>
      <x:c r="C7" s="93" t="n">
        <x:v>0.26381104417434464</x:v>
      </x:c>
      <x:c r="D7" s="94" t="n">
        <x:v>3.212072399889543</x:v>
      </x:c>
      <x:c r="E7" s="95" t="n">
        <x:v>2.099517640377302</x:v>
      </x:c>
      <x:c r="F7" s="96" t="n">
        <x:v>3.4745854264495835</x:v>
      </x:c>
      <x:c r="G7" s="97" t="n">
        <x:v>3.034809785537229</x:v>
      </x:c>
      <x:c r="H7" s="95" t="n">
        <x:v>6.170094648212343</x:v>
      </x:c>
      <x:c r="I7" s="97" t="n">
        <x:v>4.620404522490706</x:v>
      </x:c>
      <x:c r="K7" t="str">
        <x:v>2026-08-01</x:v>
      </x:c>
      <x:c r="L7" t="str">
        <x:v>Retrieved</x:v>
      </x:c>
    </x:row>
    <x:row r="8">
      <x:c r="B8" s="53" t="s">
        <x:v>10</x:v>
      </x:c>
      <x:c r="C8" s="103" t="n">
        <x:v>0.12232730556962501</x:v>
      </x:c>
      <x:c r="D8" s="104" t="n">
        <x:v>1.4778442689334037</x:v>
      </x:c>
      <x:c r="E8" s="105" t="n">
        <x:v>1.6344954475855378</x:v>
      </x:c>
      <x:c r="F8" s="106" t="n">
        <x:v>2.1387039556804543</x:v>
      </x:c>
      <x:c r="G8" s="107" t="n">
        <x:v>2.633598968709716</x:v>
      </x:c>
      <x:c r="H8" s="105" t="n">
        <x:v>2.7126014354353245</x:v>
      </x:c>
      <x:c r="I8" s="107" t="n">
        <x:v>2.4599153274474927</x:v>
      </x:c>
      <x:c r="K8" t="str">
        <x:v>2026-08-01</x:v>
      </x:c>
      <x:c r="L8" t="str">
        <x:v>Retrieved</x:v>
      </x:c>
    </x:row>
    <x:row r="9">
      <x:c r="B9" s="60" t="s">
        <x:v>11</x:v>
      </x:c>
      <x:c r="C9" s="108" t="n">
        <x:v>2.096626005792346</x:v>
      </x:c>
      <x:c r="D9" s="109" t="n">
        <x:v>28.2734223656383</x:v>
      </x:c>
      <x:c r="E9" s="110" t="n">
        <x:v>-19.114067828444014</x:v>
      </x:c>
      <x:c r="F9" s="111" t="n">
        <x:v>28.574074267801166</x:v>
      </x:c>
      <x:c r="G9" s="112" t="n">
        <x:v>16.049347026386364</x:v>
      </x:c>
      <x:c r="H9" s="110" t="n">
        <x:v>-1.944260119442609</x:v>
      </x:c>
      <x:c r="I9" s="112" t="n">
        <x:v>-0.3326649166734863</x:v>
      </x:c>
      <x:c r="K9" t="str">
        <x:v>2026-08-01</x:v>
      </x:c>
      <x:c r="L9" t="str">
        <x:v>Retrieved</x:v>
      </x:c>
    </x:row>
    <x:row r="11">
      <x:c r="B11" s="30" t="s">
        <x:v>12</x:v>
      </x:c>
      <x:c r="C11" s="50" t="s">
        <x:v>13</x:v>
      </x:c>
      <x:c r="K11" t="str">
        <x:v>SA index growth; percent points.</x:v>
      </x:c>
    </x:row>
    <x:row r="12">
      <x:c r="B12" s="30" t="s">
        <x:v>14</x:v>
      </x:c>
      <x:c r="C12" s="50" t="s">
        <x:v>15</x:v>
      </x:c>
    </x:row>
    <x:row r="14">
      <x:c r="B14" s="30" t="s">
        <x:v>16</x:v>
      </x:c>
      <x:c r="C14" s="50" t="s">
        <x:v>17</x:v>
      </x:c>
    </x:row>
  </x:sheetData>
  <x:hyperlinks>
    <x:hyperlink xmlns:r="http://schemas.openxmlformats.org/officeDocument/2006/relationships" ref="C11" r:id="Rd8d175e3778c45cd"/>
    <x:hyperlink xmlns:r="http://schemas.openxmlformats.org/officeDocument/2006/relationships" ref="C12" r:id="Racace08e0ceb4c29"/>
    <x:hyperlink xmlns:r="http://schemas.openxmlformats.org/officeDocument/2006/relationships" ref="C14" r:id="R07f20fa9533c4fe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1" max="11" width="25" hidden="0" customWidth="1"/>
    <x:col min="12" max="12" width="25" hidden="0" customWidth="1"/>
  </x:cols>
  <x:sheetData>
    <x:row r="1">
      <x:c r="A1" s="92" t="str">
        <x:v>PCE refreshed 2026-09-23</x:v>
      </x:c>
    </x:row>
    <x:row r="2" ht="32" customHeight="1">
      <x:c r="B2" s="4"/>
      <x:c r="C2" s="6" t="s">
        <x:v>0</x:v>
      </x:c>
      <x:c r="D2" s="11" t="s">
        <x:v>1</x:v>
      </x:c>
      <x:c r="E2" s="6" t="s">
        <x:v>2</x:v>
      </x:c>
      <x:c r="F2" s="14" t="s">
        <x:v>3</x:v>
      </x:c>
      <x:c r="G2" s="11" t="s">
        <x:v>4</x:v>
      </x:c>
      <x:c r="H2" s="113" t="str">
        <x:v>2023 Dec/Dec</x:v>
      </x:c>
      <x:c r="I2" s="114" t="str">
        <x:v>2024 Dec/Dec</x:v>
      </x:c>
      <x:c r="K2" t="str">
        <x:v>Period</x:v>
      </x:c>
      <x:c r="L2" t="str">
        <x:v>Refresh status</x:v>
      </x:c>
    </x:row>
    <x:row r="3">
      <x:c r="B3" s="16" t="s">
        <x:v>5</x:v>
      </x:c>
      <x:c r="C3" s="93" t="n">
        <x:v>0.15594808830463602</x:v>
      </x:c>
      <x:c r="D3" s="94" t="n">
        <x:v>1.887511863079383</x:v>
      </x:c>
      <x:c r="E3" s="95" t="n">
        <x:v>2.1958504645800403</x:v>
      </x:c>
      <x:c r="F3" s="96" t="n">
        <x:v>4.127833570817074</x:v>
      </x:c>
      <x:c r="G3" s="97" t="n">
        <x:v>3.7011657214870874</x:v>
      </x:c>
      <x:c r="H3" s="95" t="n">
        <x:v>2.7672658467360334</x:v>
      </x:c>
      <x:c r="I3" s="97" t="n">
        <x:v>2.7280946901200087</x:v>
      </x:c>
      <x:c r="K3" t="str">
        <x:v>2026-07-01</x:v>
      </x:c>
      <x:c r="L3" t="str">
        <x:v>Retrieved</x:v>
      </x:c>
    </x:row>
    <x:row r="4">
      <x:c r="B4" s="31" t="s">
        <x:v>6</x:v>
      </x:c>
      <x:c r="C4" s="98" t="n">
        <x:v>0.2455155058386671</x:v>
      </x:c>
      <x:c r="D4" s="99" t="n">
        <x:v>2.986296846977332</x:v>
      </x:c>
      <x:c r="E4" s="100" t="n">
        <x:v>3.0477755322693367</x:v>
      </x:c>
      <x:c r="F4" s="101" t="n">
        <x:v>3.4594071030808804</x:v>
      </x:c>
      <x:c r="G4" s="102" t="n">
        <x:v>3.3441430040338282</x:v>
      </x:c>
      <x:c r="H4" s="100" t="n">
        <x:v>3.1123879882344996</x:v>
      </x:c>
      <x:c r="I4" s="102" t="n">
        <x:v>2.9885896245190446</x:v>
      </x:c>
      <x:c r="K4" t="str">
        <x:v>2026-07-01</x:v>
      </x:c>
      <x:c r="L4" t="str">
        <x:v>Retrieved</x:v>
      </x:c>
    </x:row>
    <x:row r="5">
      <x:c r="B5" s="16" t="s">
        <x:v>7</x:v>
      </x:c>
      <x:c r="C5" s="93"/>
      <x:c r="D5" s="94">
        <x:v>1.8</x:v>
      </x:c>
      <x:c r="E5" s="95">
        <x:v>0.6</x:v>
      </x:c>
      <x:c r="F5" s="96">
        <x:v>3.0</x:v>
      </x:c>
      <x:c r="G5" s="97">
        <x:v>2.3</x:v>
      </x:c>
      <x:c r="H5" s="95"/>
      <x:c r="I5" s="97"/>
      <x:c r="L5" t="str">
        <x:v>Manual; not refreshed</x:v>
      </x:c>
    </x:row>
    <x:row r="6">
      <x:c r="B6" s="31" t="s">
        <x:v>8</x:v>
      </x:c>
      <x:c r="C6" s="98"/>
      <x:c r="D6" s="99">
        <x:v>3.4</x:v>
      </x:c>
      <x:c r="E6" s="100">
        <x:v>3.9</x:v>
      </x:c>
      <x:c r="F6" s="101">
        <x:v>3.6</x:v>
      </x:c>
      <x:c r="G6" s="102">
        <x:v>3.7</x:v>
      </x:c>
      <x:c r="H6" s="100"/>
      <x:c r="I6" s="102"/>
      <x:c r="L6" t="str">
        <x:v>Manual; not refreshed</x:v>
      </x:c>
    </x:row>
    <x:row r="7">
      <x:c r="B7" s="16" t="s">
        <x:v>18</x:v>
      </x:c>
      <x:c r="C7" s="93"/>
      <x:c r="D7" s="94">
        <x:v>3.2</x:v>
      </x:c>
      <x:c r="E7" s="95">
        <x:v>3.2</x:v>
      </x:c>
      <x:c r="F7" s="96">
        <x:v>3.6</x:v>
      </x:c>
      <x:c r="G7" s="97">
        <x:v>3.2</x:v>
      </x:c>
      <x:c r="H7" s="95"/>
      <x:c r="I7" s="97"/>
      <x:c r="L7" t="str">
        <x:v>Manual; not refreshed</x:v>
      </x:c>
    </x:row>
    <x:row r="8">
      <x:c r="B8" s="53" t="s">
        <x:v>10</x:v>
      </x:c>
      <x:c r="C8" s="103" t="n">
        <x:v>-0.08013365689186758</x:v>
      </x:c>
      <x:c r="D8" s="104" t="n">
        <x:v>-0.9573770569104356</x:v>
      </x:c>
      <x:c r="E8" s="105" t="n">
        <x:v>0.9314438558573945</x:v>
      </x:c>
      <x:c r="F8" s="106" t="n">
        <x:v>1.7072226914977229</x:v>
      </x:c>
      <x:c r="G8" s="107" t="n">
        <x:v>2.4025350192140804</x:v>
      </x:c>
      <x:c r="H8" s="105" t="n">
        <x:v>1.4997503100987464</x:v>
      </x:c>
      <x:c r="I8" s="107" t="n">
        <x:v>1.5997968511935134</x:v>
      </x:c>
      <x:c r="K8" t="str">
        <x:v>2026-07-01</x:v>
      </x:c>
      <x:c r="L8" t="str">
        <x:v>Retrieved</x:v>
      </x:c>
    </x:row>
    <x:row r="9">
      <x:c r="B9" s="60" t="s">
        <x:v>11</x:v>
      </x:c>
      <x:c r="C9" s="108" t="n">
        <x:v>-1.463922026889941</x:v>
      </x:c>
      <x:c r="D9" s="109" t="n">
        <x:v>-16.219438833804066</x:v>
      </x:c>
      <x:c r="E9" s="110" t="n">
        <x:v>-13.521241198817124</x:v>
      </x:c>
      <x:c r="F9" s="111" t="n">
        <x:v>26.873362629116816</x:v>
      </x:c>
      <x:c r="G9" s="112" t="n">
        <x:v>15.314272833151744</x:v>
      </x:c>
      <x:c r="H9" s="110" t="n">
        <x:v>-2.061347765861743</x:v>
      </x:c>
      <x:c r="I9" s="112" t="n">
        <x:v>-1.0213826940882353</x:v>
      </x:c>
      <x:c r="K9" t="str">
        <x:v>2026-07-01</x:v>
      </x:c>
      <x:c r="L9" t="str">
        <x:v>Retrieved</x:v>
      </x:c>
    </x:row>
    <x:row r="11">
      <x:c r="B11" s="30" t="s">
        <x:v>12</x:v>
      </x:c>
      <x:c r="K11" t="str">
        <x:v>SA index growth; percent points.</x:v>
      </x:c>
    </x:row>
    <x:row r="12">
      <x:c r="B12" s="30" t="s">
        <x:v>14</x:v>
      </x:c>
      <x:c r="C12" s="50" t="s">
        <x:v>19</x:v>
      </x:c>
    </x:row>
  </x:sheetData>
  <x:hyperlinks>
    <x:hyperlink xmlns:r="http://schemas.openxmlformats.org/officeDocument/2006/relationships" ref="C12" r:id="R3b59792d3a524e20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16.25" customWidth="1"/>
    <x:col min="3" max="3" width="18.3799991607666" customWidth="1"/>
    <x:col min="4" max="4" width="21.5" customWidth="1"/>
    <x:col min="5" max="5" width="15" customWidth="1"/>
    <x:col min="7" max="7" width="20" customWidth="1"/>
    <x:col min="8" max="8" width="19.3799991607666" customWidth="1"/>
    <x:col min="9" max="9" width="13.880000114440918" customWidth="1"/>
    <x:col min="10" max="10" width="16.6299991607666" customWidth="1"/>
  </x:cols>
  <x:sheetData>
    <x:row r="1">
      <x:c r="A1" s="1" t="str">
        <x:v>AAA manual; EIA refreshed below</x:v>
      </x:c>
      <x:c r="G1" s="3"/>
      <x:c r="H1" s="9"/>
    </x:row>
    <x:row r="2">
      <x:c r="A2" s="13" t="s">
        <x:v>20</x:v>
      </x:c>
      <x:c r="B2" s="5" t="s">
        <x:v>21</x:v>
      </x:c>
      <x:c r="C2" s="8" t="s">
        <x:v>22</x:v>
      </x:c>
      <x:c r="D2" s="18" t="s">
        <x:v>23</x:v>
      </x:c>
      <x:c r="E2" s="18" t="s">
        <x:v>24</x:v>
      </x:c>
      <x:c r="F2" s="10" t="s">
        <x:v>25</x:v>
      </x:c>
      <x:c r="G2" s="12" t="s">
        <x:v>26</x:v>
      </x:c>
      <x:c r="H2" s="12" t="s">
        <x:v>27</x:v>
      </x:c>
      <x:c r="I2" s="8" t="s">
        <x:v>28</x:v>
      </x:c>
      <x:c r="J2" s="10" t="s">
        <x:v>29</x:v>
      </x:c>
    </x:row>
    <x:row r="3">
      <x:c r="B3" s="24" t="s">
        <x:v>30</x:v>
      </x:c>
      <x:c r="C3" s="27">
        <x:v>4.47</x:v>
      </x:c>
      <x:c r="D3" s="29">
        <x:v>4.37</x:v>
      </x:c>
      <x:c r="E3" s="32">
        <x:v>4.1</x:v>
      </x:c>
      <x:c r="F3" s="34">
        <x:v>3.17</x:v>
      </x:c>
      <x:c r="G3" s="36"/>
      <x:c r="H3" s="36"/>
      <x:c r="I3" s="38"/>
      <x:c r="J3" s="34"/>
    </x:row>
    <x:row r="4">
      <x:c r="B4" s="40" t="s">
        <x:v>31</x:v>
      </x:c>
      <x:c r="C4" s="42">
        <x:v>6.52</x:v>
      </x:c>
      <x:c r="D4" s="43">
        <x:v>6.31</x:v>
      </x:c>
      <x:c r="E4" s="45">
        <x:v>5.61</x:v>
      </x:c>
      <x:c r="F4" s="47">
        <x:v>3.69</x:v>
      </x:c>
      <x:c r="G4" s="49"/>
      <x:c r="H4" s="49"/>
      <x:c r="I4" s="52"/>
      <x:c r="J4" s="47"/>
    </x:row>
    <x:row r="5">
      <x:c r="B5" s="30" t="s">
        <x:v>32</x:v>
      </x:c>
    </x:row>
    <x:row r="6">
      <x:c r="B6" s="30" t="s">
        <x:v>33</x:v>
      </x:c>
    </x:row>
    <x:row r="7">
      <x:c r="B7" s="30" t="s">
        <x:v>34</x:v>
      </x:c>
      <x:c r="C7" s="59" t="s">
        <x:v>35</x:v>
      </x:c>
    </x:row>
    <x:row r="8">
      <x:c r="G8" t="str">
        <x:v>EIA retrieved 2026-09-23</x:v>
      </x:c>
    </x:row>
    <x:row r="11" ht="32" customHeight="1">
      <x:c r="A11" s="13" t="s">
        <x:v>36</x:v>
      </x:c>
      <x:c r="B11" s="66" t="s">
        <x:v>21</x:v>
      </x:c>
      <x:c r="C11" s="149" t="str">
        <x:v>Latest week</x:v>
      </x:c>
      <x:c r="D11" s="161" t="str">
        <x:v>1 week ago</x:v>
      </x:c>
      <x:c r="E11" s="161" t="str">
        <x:v>4 weeks ago</x:v>
      </x:c>
      <x:c r="F11" s="150" t="str">
        <x:v>52 weeks ago</x:v>
      </x:c>
    </x:row>
    <x:row r="12">
      <x:c r="B12" s="15" t="s">
        <x:v>30</x:v>
      </x:c>
      <x:c r="C12" s="151" t="n">
        <x:v>4.478</x:v>
      </x:c>
      <x:c r="D12" s="152" t="n">
        <x:v>4.319</x:v>
      </x:c>
      <x:c r="E12" s="153" t="n">
        <x:v>4.085</x:v>
      </x:c>
      <x:c r="F12" s="154" t="n">
        <x:v>3.173</x:v>
      </x:c>
      <x:c r="H12" t="str">
        <x:v>2026-09-21</x:v>
      </x:c>
      <x:c r="I12" t="str">
        <x:v>Retrieved</x:v>
      </x:c>
    </x:row>
    <x:row r="13">
      <x:c r="B13" s="15" t="s">
        <x:v>31</x:v>
      </x:c>
      <x:c r="C13" s="151" t="n">
        <x:v>6.529</x:v>
      </x:c>
      <x:c r="D13" s="152" t="n">
        <x:v>6.285</x:v>
      </x:c>
      <x:c r="E13" s="153" t="n">
        <x:v>5.652</x:v>
      </x:c>
      <x:c r="F13" s="154" t="n">
        <x:v>3.749</x:v>
      </x:c>
      <x:c r="H13" t="str">
        <x:v>2026-09-21</x:v>
      </x:c>
      <x:c r="I13" t="str">
        <x:v>Retrieved</x:v>
      </x:c>
    </x:row>
    <x:row r="14" ht="6" customHeight="1">
      <x:c r="B14" s="30"/>
      <x:c r="C14" s="155"/>
      <x:c r="D14" s="155"/>
      <x:c r="E14" s="155"/>
      <x:c r="F14" s="155"/>
    </x:row>
    <x:row r="15" ht="34" customHeight="1">
      <x:c r="B15" s="66" t="s">
        <x:v>21</x:v>
      </x:c>
      <x:c r="C15" s="156" t="s">
        <x:v>26</x:v>
      </x:c>
      <x:c r="D15" s="156" t="s">
        <x:v>27</x:v>
      </x:c>
      <x:c r="E15" s="157" t="str">
        <x:v>2024 weekly mean</x:v>
      </x:c>
      <x:c r="F15" s="158" t="str">
        <x:v>2023 weekly mean</x:v>
      </x:c>
    </x:row>
    <x:row r="16">
      <x:c r="B16" s="15" t="s">
        <x:v>30</x:v>
      </x:c>
      <x:c r="C16" s="159" t="n">
        <x:v>2.937</x:v>
      </x:c>
      <x:c r="D16" s="159" t="n">
        <x:v>3.109</x:v>
      </x:c>
      <x:c r="E16" s="160" t="n">
        <x:v>3.3038490566037737</x:v>
      </x:c>
      <x:c r="F16" s="154" t="n">
        <x:v>3.518634615384614</x:v>
      </x:c>
    </x:row>
    <x:row r="17">
      <x:c r="B17" s="15" t="s">
        <x:v>31</x:v>
      </x:c>
      <x:c r="C17" s="159" t="n">
        <x:v>3.809</x:v>
      </x:c>
      <x:c r="D17" s="159" t="n">
        <x:v>3.715</x:v>
      </x:c>
      <x:c r="E17" s="160" t="n">
        <x:v>3.759622641509434</x:v>
      </x:c>
      <x:c r="F17" s="154" t="n">
        <x:v>4.214115384615384</x:v>
      </x:c>
    </x:row>
    <x:row r="18">
      <x:c r="B18" s="30" t="s">
        <x:v>37</x:v>
      </x:c>
    </x:row>
    <x:row r="19">
      <x:c r="B19" s="30" t="s">
        <x:v>33</x:v>
      </x:c>
    </x:row>
    <x:row r="20">
      <x:c r="B20" s="30" t="s">
        <x:v>38</x:v>
      </x:c>
      <x:c r="C20" s="59" t="s">
        <x:v>39</x:v>
      </x:c>
    </x:row>
    <x:row r="21">
      <x:c r="B21" s="30" t="s">
        <x:v>40</x:v>
      </x:c>
    </x:row>
  </x:sheetData>
  <x:hyperlinks>
    <x:hyperlink xmlns:r="http://schemas.openxmlformats.org/officeDocument/2006/relationships" ref="C7" r:id="Rf70f9895be5f4a8f"/>
    <x:hyperlink xmlns:r="http://schemas.openxmlformats.org/officeDocument/2006/relationships" ref="C20" r:id="R4090cee6c24d4285"/>
  </x:hyperlinks>
  <x:pageMargins left="0.7" right="0.7" top="0.75" bottom="0.75" header="0.3" footer="0.3"/>
</x:worksheet>
</file>

<file path=xl/worksheets/sheet4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2" topLeftCell="A3" activePane="bottomLeft" state="frozen"/>
    </ns0:sheetView>
  </ns0:sheetViews>
  <ns0:sheetFormatPr defaultColWidth="12.630000114440918" defaultRowHeight="15.75"/>
  <ns0:cols>
    <ns0:col min="1" max="1" width="14" customWidth="1"/>
    <ns0:col min="2" max="2" width="41" hidden="0" customWidth="1"/>
    <ns0:col min="3" max="4" width="14.130000114440918" customWidth="1"/>
    <ns0:col min="5" max="5" width="20" hidden="0" customWidth="1"/>
    <ns0:col min="6" max="6" width="20" hidden="0" customWidth="1"/>
    <ns0:col min="3" max="3" width="20" hidden="0" customWidth="1"/>
    <ns0:col min="4" max="4" width="20" hidden="0" customWidth="1"/>
    <ns0:col min="7" max="7" width="20" hidden="0" customWidth="1"/>
    <ns0:col min="8" max="8" width="20" hidden="0" customWidth="1"/>
    <ns0:col min="10" max="10" width="23" hidden="0" customWidth="1"/>
    <ns0:col min="11" max="11" width="23" hidden="0" customWidth="1"/>
  </ns0:cols>
  <ns0:sheetData>
    <ns0:row r="1">
      <ns0:c r="A1" s="92" t="str">
        <ns0:v>Payrolls refreshed 2026-09-23</ns0:v>
      </ns0:c>
    </ns0:row>
    <ns0:row r="2" ht="42" customHeight="1">
      <ns0:c r="B2" s="5" t="str">
        <ns0:v>Industry</ns0:v>
      </ns0:c>
      <ns0:c r="C2" s="116" t="str">
        <ns0:v>Monthly change</ns0:v>
      </ns0:c>
      <ns0:c r="D2" s="117" t="str">
        <ns0:v>3-month avg.</ns0:v>
      </ns0:c>
      <ns0:c r="E2" s="118" t="str">
        <ns0:v>12-month avg.</ns0:v>
      </ns0:c>
      <ns0:c r="F2" s="119" t="str">
        <ns0:v>Avg. since 2025-01</ns0:v>
      </ns0:c>
      <ns0:c r="G2" s="119" t="str">
        <ns0:v>2024 avg.</ns0:v>
      </ns0:c>
      <ns0:c r="H2" s="119" t="str">
        <ns0:v>2023 avg.</ns0:v>
      </ns0:c>
      <ns0:c r="J2" t="str">
        <ns0:v>Period</ns0:v>
      </ns0:c>
      <ns0:c r="K2" t="str">
        <ns0:v>Status</ns0:v>
      </ns0:c>
    </ns0:row>
    <ns0:row r="3" ht="31" customHeight="1">
      <ns0:c r="B3" s="125" t="str">
        <ns0:v>Overall</ns0:v>
      </ns0:c>
      <ns0:c r="C3" s="127" t="n">
        <ns0:v>162000</ns0:v>
      </ns0:c>
      <ns0:c r="D3" s="127" t="n">
        <ns0:v>71333.33333333333</ns0:v>
      </ns0:c>
      <ns0:c r="E3" s="127" t="n">
        <ns0:v>50250</ns0:v>
      </ns0:c>
      <ns0:c r="F3" s="127" t="n">
        <ns0:v>42473.68421052631</ns0:v>
      </ns0:c>
      <ns0:c r="G3" s="127" t="n">
        <ns0:v>121583.33333333333</ns0:v>
      </ns0:c>
      <ns0:c r="H3" s="127" t="n">
        <ns0:v>209583.33333333334</ns0:v>
      </ns0:c>
      <ns0:c r="I3" s="124"/>
      <ns0:c r="J3" s="124" t="str">
        <ns0:v>2026-08-01</ns0:v>
      </ns0:c>
      <ns0:c r="K3" s="124" t="str">
        <ns0:v>Retrieved</ns0:v>
      </ns0:c>
    </ns0:row>
    <ns0:row r="4" ht="31" customHeight="1">
      <ns0:c r="B4" s="125" t="str">
        <ns0:v>Manufacturing</ns0:v>
      </ns0:c>
      <ns0:c r="C4" s="127" t="n">
        <ns0:v>16000</ns0:v>
      </ns0:c>
      <ns0:c r="D4" s="127" t="n">
        <ns0:v>14333.333333333334</ns0:v>
      </ns0:c>
      <ns0:c r="E4" s="127" t="n">
        <ns0:v>1916.6666666666667</ns0:v>
      </ns0:c>
      <ns0:c r="F4" s="127" t="n">
        <ns0:v>-1842.1052631578948</ns0:v>
      </ns0:c>
      <ns0:c r="G4" s="127" t="n">
        <ns0:v>-14916.666666666666</ns0:v>
      </ns0:c>
      <ns0:c r="H4" s="127" t="n">
        <ns0:v>-1916.6666666666667</ns0:v>
      </ns0:c>
      <ns0:c r="I4" s="124"/>
      <ns0:c r="J4" s="124" t="str">
        <ns0:v>2026-08-01</ns0:v>
      </ns0:c>
      <ns0:c r="K4" s="124" t="str">
        <ns0:v>Retrieved</ns0:v>
      </ns0:c>
    </ns0:row>
    <ns0:row r="5" ht="31" customHeight="1">
      <ns0:c r="B5" s="125" t="str">
        <ns0:v>Mining and logging</ns0:v>
      </ns0:c>
      <ns0:c r="C5" s="127" t="n">
        <ns0:v>3000</ns0:v>
      </ns0:c>
      <ns0:c r="D5" s="127" t="n">
        <ns0:v>-666.6666666666666</ns0:v>
      </ns0:c>
      <ns0:c r="E5" s="127" t="n">
        <ns0:v>166.66666666666666</ns0:v>
      </ns0:c>
      <ns0:c r="F5" s="127" t="n">
        <ns0:v>-684.2105263157895</ns0:v>
      </ns0:c>
      <ns0:c r="G5" s="127" t="n">
        <ns0:v>-1333.3333333333333</ns0:v>
      </ns0:c>
      <ns0:c r="H5" s="127" t="n">
        <ns0:v>916.6666666666666</ns0:v>
      </ns0:c>
      <ns0:c r="I5" s="124"/>
      <ns0:c r="J5" s="124" t="str">
        <ns0:v>2026-08-01</ns0:v>
      </ns0:c>
      <ns0:c r="K5" s="124" t="str">
        <ns0:v>Retrieved</ns0:v>
      </ns0:c>
    </ns0:row>
    <ns0:row r="6" ht="31" customHeight="1">
      <ns0:c r="B6" s="125" t="str">
        <ns0:v>Construction</ns0:v>
      </ns0:c>
      <ns0:c r="C6" s="127" t="n">
        <ns0:v>22000</ns0:v>
      </ns0:c>
      <ns0:c r="D6" s="127" t="n">
        <ns0:v>14333.333333333334</ns0:v>
      </ns0:c>
      <ns0:c r="E6" s="127" t="n">
        <ns0:v>10000</ns0:v>
      </ns0:c>
      <ns0:c r="F6" s="127" t="n">
        <ns0:v>5000</ns0:v>
      </ns0:c>
      <ns0:c r="G6" s="127" t="n">
        <ns0:v>14666.666666666666</ns0:v>
      </ns0:c>
      <ns0:c r="H6" s="127" t="n">
        <ns0:v>17916.666666666668</ns0:v>
      </ns0:c>
      <ns0:c r="I6" s="124"/>
      <ns0:c r="J6" s="124" t="str">
        <ns0:v>2026-08-01</ns0:v>
      </ns0:c>
      <ns0:c r="K6" s="124" t="str">
        <ns0:v>Retrieved</ns0:v>
      </ns0:c>
    </ns0:row>
    <ns0:row r="7" ht="31" customHeight="1">
      <ns0:c r="B7" s="125" t="str">
        <ns0:v>Trade, transportation and utilities</ns0:v>
      </ns0:c>
      <ns0:c r="C7" s="127" t="n">
        <ns0:v>16000</ns0:v>
      </ns0:c>
      <ns0:c r="D7" s="127" t="n">
        <ns0:v>18000</ns0:v>
      </ns0:c>
      <ns0:c r="E7" s="127" t="n">
        <ns0:v>2916.6666666666665</ns0:v>
      </ns0:c>
      <ns0:c r="F7" s="127" t="n">
        <ns0:v>-894.7368421052631</ns0:v>
      </ns0:c>
      <ns0:c r="G7" s="127" t="n">
        <ns0:v>-1500</ns0:v>
      </ns0:c>
      <ns0:c r="H7" s="127" t="n">
        <ns0:v>5000</ns0:v>
      </ns0:c>
      <ns0:c r="I7" s="124"/>
      <ns0:c r="J7" s="124" t="str">
        <ns0:v>2026-08-01</ns0:v>
      </ns0:c>
      <ns0:c r="K7" s="124" t="str">
        <ns0:v>Retrieved</ns0:v>
      </ns0:c>
    </ns0:row>
    <ns0:row r="8" ht="31" customHeight="1">
      <ns0:c r="B8" s="125" t="str">
        <ns0:v>Information</ns0:v>
      </ns0:c>
      <ns0:c r="C8" s="127" t="n">
        <ns0:v>-23000</ns0:v>
      </ns0:c>
      <ns0:c r="D8" s="127" t="n">
        <ns0:v>-12333.333333333334</ns0:v>
      </ns0:c>
      <ns0:c r="E8" s="127" t="n">
        <ns0:v>-9583.333333333334</ns0:v>
      </ns0:c>
      <ns0:c r="F8" s="127" t="n">
        <ns0:v>-6947.368421052632</ns0:v>
      </ns0:c>
      <ns0:c r="G8" s="127" t="n">
        <ns0:v>-5666.666666666667</ns0:v>
      </ns0:c>
      <ns0:c r="H8" s="127" t="n">
        <ns0:v>-10750</ns0:v>
      </ns0:c>
      <ns0:c r="I8" s="124"/>
      <ns0:c r="J8" s="124" t="str">
        <ns0:v>2026-08-01</ns0:v>
      </ns0:c>
      <ns0:c r="K8" s="124" t="str">
        <ns0:v>Retrieved</ns0:v>
      </ns0:c>
    </ns0:row>
    <ns0:row r="9" ht="31" customHeight="1">
      <ns0:c r="B9" s="125" t="str">
        <ns0:v>Financial activities</ns0:v>
      </ns0:c>
      <ns0:c r="C9" s="127" t="n">
        <ns0:v>-11000</ns0:v>
      </ns0:c>
      <ns0:c r="D9" s="127" t="n">
        <ns0:v>-6666.666666666667</ns0:v>
      </ns0:c>
      <ns0:c r="E9" s="127" t="n">
        <ns0:v>-8250</ns0:v>
      </ns0:c>
      <ns0:c r="F9" s="127" t="n">
        <ns0:v>-5315.789473684211</ns0:v>
      </ns0:c>
      <ns0:c r="G9" s="127" t="n">
        <ns0:v>250</ns0:v>
      </ns0:c>
      <ns0:c r="H9" s="127" t="n">
        <ns0:v>2500</ns0:v>
      </ns0:c>
      <ns0:c r="I9" s="124"/>
      <ns0:c r="J9" s="124" t="str">
        <ns0:v>2026-08-01</ns0:v>
      </ns0:c>
      <ns0:c r="K9" s="124" t="str">
        <ns0:v>Retrieved</ns0:v>
      </ns0:c>
    </ns0:row>
    <ns0:row r="10" ht="31" customHeight="1">
      <ns0:c r="B10" s="125" t="str">
        <ns0:v>Professional and business services</ns0:v>
      </ns0:c>
      <ns0:c r="C10" s="127" t="n">
        <ns0:v>10000</ns0:v>
      </ns0:c>
      <ns0:c r="D10" s="127" t="n">
        <ns0:v>20333.333333333332</ns0:v>
      </ns0:c>
      <ns0:c r="E10" s="127" t="n">
        <ns0:v>12666.666666666666</ns0:v>
      </ns0:c>
      <ns0:c r="F10" s="127" t="n">
        <ns0:v>2473.684210526316</ns0:v>
      </ns0:c>
      <ns0:c r="G10" s="127" t="n">
        <ns0:v>-9250</ns0:v>
      </ns0:c>
      <ns0:c r="H10" s="127" t="n">
        <ns0:v>-10916.666666666666</ns0:v>
      </ns0:c>
      <ns0:c r="I10" s="124"/>
      <ns0:c r="J10" s="124" t="str">
        <ns0:v>2026-08-01</ns0:v>
      </ns0:c>
      <ns0:c r="K10" s="124" t="str">
        <ns0:v>Retrieved</ns0:v>
      </ns0:c>
    </ns0:row>
    <ns0:row r="11" ht="31" customHeight="1">
      <ns0:c r="B11" s="125" t="str">
        <ns0:v>Private education and health services</ns0:v>
      </ns0:c>
      <ns0:c r="C11" s="127" t="n">
        <ns0:v>29000</ns0:v>
      </ns0:c>
      <ns0:c r="D11" s="127" t="n">
        <ns0:v>30333.333333333332</ns0:v>
      </ns0:c>
      <ns0:c r="E11" s="127" t="n">
        <ns0:v>44916.666666666664</ns0:v>
      </ns0:c>
      <ns0:c r="F11" s="127" t="n">
        <ns0:v>50947.36842105263</ns0:v>
      </ns0:c>
      <ns0:c r="G11" s="127" t="n">
        <ns0:v>84166.66666666667</ns0:v>
      </ns0:c>
      <ns0:c r="H11" s="127" t="n">
        <ns0:v>96833.33333333333</ns0:v>
      </ns0:c>
      <ns0:c r="I11" s="124"/>
      <ns0:c r="J11" s="124" t="str">
        <ns0:v>2026-08-01</ns0:v>
      </ns0:c>
      <ns0:c r="K11" s="124" t="str">
        <ns0:v>Retrieved</ns0:v>
      </ns0:c>
    </ns0:row>
    <ns0:row r="12" ht="31" customHeight="1">
      <ns0:c r="B12" s="125" t="str">
        <ns0:v>Leisure and hospitality</ns0:v>
      </ns0:c>
      <ns0:c r="C12" s="127" t="n">
        <ns0:v>62000</ns0:v>
      </ns0:c>
      <ns0:c r="D12" s="127" t="n">
        <ns0:v>-4333.333333333333</ns0:v>
      </ns0:c>
      <ns0:c r="E12" s="127" t="n">
        <ns0:v>10916.666666666666</ns0:v>
      </ns0:c>
      <ns0:c r="F12" s="127" t="n">
        <ns0:v>8894.736842105263</ns0:v>
      </ns0:c>
      <ns0:c r="G12" s="127" t="n">
        <ns0:v>13166.666666666666</ns0:v>
      </ns0:c>
      <ns0:c r="H12" s="127" t="n">
        <ns0:v>38250</ns0:v>
      </ns0:c>
      <ns0:c r="I12" s="124"/>
      <ns0:c r="J12" s="124" t="str">
        <ns0:v>2026-08-01</ns0:v>
      </ns0:c>
      <ns0:c r="K12" s="124" t="str">
        <ns0:v>Retrieved</ns0:v>
      </ns0:c>
    </ns0:row>
    <ns0:row r="13" ht="31" customHeight="1">
      <ns0:c r="B13" s="125" t="str">
        <ns0:v>Other services</ns0:v>
      </ns0:c>
      <ns0:c r="C13" s="127" t="n">
        <ns0:v>3000</ns0:v>
      </ns0:c>
      <ns0:c r="D13" s="127" t="n">
        <ns0:v>1333.3333333333333</ns0:v>
      </ns0:c>
      <ns0:c r="E13" s="127" t="n">
        <ns0:v>2250</ns0:v>
      </ns0:c>
      <ns0:c r="F13" s="127" t="n">
        <ns0:v>3157.8947368421054</ns0:v>
      </ns0:c>
      <ns0:c r="G13" s="127" t="n">
        <ns0:v>5500</ns0:v>
      </ns0:c>
      <ns0:c r="H13" s="127" t="n">
        <ns0:v>11250</ns0:v>
      </ns0:c>
      <ns0:c r="I13" s="124"/>
      <ns0:c r="J13" s="124" t="str">
        <ns0:v>2026-08-01</ns0:v>
      </ns0:c>
      <ns0:c r="K13" s="124" t="str">
        <ns0:v>Retrieved</ns0:v>
      </ns0:c>
    </ns0:row>
    <ns0:row r="14" ht="31" customHeight="1">
      <ns0:c r="B14" s="125" t="str">
        <ns0:v>Government</ns0:v>
      </ns0:c>
      <ns0:c r="C14" s="127" t="n">
        <ns0:v>35000</ns0:v>
      </ns0:c>
      <ns0:c r="D14" s="127" t="n">
        <ns0:v>-3333.3333333333335</ns0:v>
      </ns0:c>
      <ns0:c r="E14" s="127" t="n">
        <ns0:v>-17666.666666666668</ns0:v>
      </ns0:c>
      <ns0:c r="F14" s="127" t="n">
        <ns0:v>-12315.78947368421</ns0:v>
      </ns0:c>
      <ns0:c r="G14" s="127" t="n">
        <ns0:v>36500</ns0:v>
      </ns0:c>
      <ns0:c r="H14" s="127" t="n">
        <ns0:v>60500</ns0:v>
      </ns0:c>
      <ns0:c r="I14" s="124"/>
      <ns0:c r="J14" s="124" t="str">
        <ns0:v>2026-08-01</ns0:v>
      </ns0:c>
      <ns0:c r="K14" s="124" t="str">
        <ns0:v>Retrieved</ns0:v>
      </ns0:c>
    </ns0:row>
    <ns0:row r="15" ht="31" customHeight="1">
      <ns0:c r="B15" s="125" t="str">
        <ns0:v>Health care (subset)</ns0:v>
      </ns0:c>
      <ns0:c r="C15" s="127" t="n">
        <ns0:v>12900.000000001455</ns0:v>
      </ns0:c>
      <ns0:c r="D15" s="127" t="n">
        <ns0:v>14833.333333333334</ns0:v>
      </ns0:c>
      <ns0:c r="E15" s="127" t="n">
        <ns0:v>31541.666666666668</ns0:v>
      </ns0:c>
      <ns0:c r="F15" s="127" t="n">
        <ns0:v>30363.157894736916</ns0:v>
      </ns0:c>
      <ns0:c r="G15" s="127" t="n">
        <ns0:v>52708.333333333336</ns0:v>
      </ns0:c>
      <ns0:c r="H15" s="127" t="n">
        <ns0:v>55991.66666666648</ns0:v>
      </ns0:c>
      <ns0:c r="I15" s="124"/>
      <ns0:c r="J15" s="124" t="str">
        <ns0:v>2026-08-01</ns0:v>
      </ns0:c>
      <ns0:c r="K15" s="124" t="str">
        <ns0:v>Retrieved</ns0:v>
      </ns0:c>
    </ns0:row>
    <ns0:row r="16" ht="31" customHeight="1">
      <ns0:c r="B16" s="125" t="str">
        <ns0:v>Retail Trade (subset)</ns0:v>
      </ns0:c>
      <ns0:c r="C16" s="127" t="n">
        <ns0:v>1400.0000000014552</ns0:v>
      </ns0:c>
      <ns0:c r="D16" s="127" t="n">
        <ns0:v>8066.666666666909</ns0:v>
      </ns0:c>
      <ns0:c r="E16" s="127" t="n">
        <ns0:v>3991.666666666788</ns0:v>
      </ns0:c>
      <ns0:c r="F16" s="127" t="n">
        <ns0:v>1521.052631579024</ns0:v>
      </ns0:c>
      <ns0:c r="G16" s="127" t="n">
        <ns0:v>-7566.666666666606</ns0:v>
      </ns0:c>
      <ns0:c r="H16" s="127" t="n">
        <ns0:v>1416.6666666666667</ns0:v>
      </ns0:c>
      <ns0:c r="I16" s="124"/>
      <ns0:c r="J16" s="124" t="str">
        <ns0:v>2026-08-01</ns0:v>
      </ns0:c>
      <ns0:c r="K16" s="124" t="str">
        <ns0:v>Retrieved</ns0:v>
      </ns0:c>
    </ns0:row>
    <ns0:row r="17" ht="31" customHeight="1">
      <ns0:c r="B17" s="125" t="str">
        <ns0:v>Wholesale Trade (subset)</ns0:v>
      </ns0:c>
      <ns0:c r="C17" s="127" t="n">
        <ns0:v>7800.000000000182</ns0:v>
      </ns0:c>
      <ns0:c r="D17" s="127" t="n">
        <ns0:v>5900.000000000243</ns0:v>
      </ns0:c>
      <ns0:c r="E17" s="127" t="n">
        <ns0:v>2425.0000000000305</ns0:v>
      </ns0:c>
      <ns0:c r="F17" s="127" t="n">
        <ns0:v>-63.15789473683253</ns0:v>
      </ns0:c>
      <ns0:c r="G17" s="127" t="n">
        <ns0:v>-3391.6666666666515</ns0:v>
      </ns0:c>
      <ns0:c r="H17" s="127" t="n">
        <ns0:v>6083.333333333333</ns0:v>
      </ns0:c>
      <ns0:c r="I17" s="124"/>
      <ns0:c r="J17" s="124" t="str">
        <ns0:v>2026-08-01</ns0:v>
      </ns0:c>
      <ns0:c r="K17" s="124" t="str">
        <ns0:v>Retrieved</ns0:v>
      </ns0:c>
    </ns0:row>
    <ns0:row r="18" ht="31" customHeight="1">
      <ns0:c r="B18" s="125" t="str">
        <ns0:v>Transportation and Warehousing (subset)</ns0:v>
      </ns0:c>
      <ns0:c r="C18" s="127" t="n">
        <ns0:v>5000</ns0:v>
      </ns0:c>
      <ns0:c r="D18" s="127" t="n">
        <ns0:v>2833.3333333333335</ns0:v>
      </ns0:c>
      <ns0:c r="E18" s="127" t="n">
        <ns0:v>-4291.666666666667</ns0:v>
      </ns0:c>
      <ns0:c r="F18" s="127" t="n">
        <ns0:v>-3084.210526315761</ns0:v>
      </ns0:c>
      <ns0:c r="G18" s="127" t="n">
        <ns0:v>8549.999999999955</ns0:v>
      </ns0:c>
      <ns0:c r="H18" s="127" t="n">
        <ns0:v>-3824.9999999999695</ns0:v>
      </ns0:c>
      <ns0:c r="I18" s="124"/>
      <ns0:c r="J18" s="124" t="str">
        <ns0:v>2026-08-01</ns0:v>
      </ns0:c>
      <ns0:c r="K18" s="124" t="str">
        <ns0:v>Retrieved</ns0:v>
      </ns0:c>
    </ns0:row>
    <ns0:row r="19" ht="31" customHeight="1">
      <ns0:c r="B19" s="125" t="str">
        <ns0:v>Utilities (subset)</ns0:v>
      </ns0:c>
      <ns0:c r="C19" s="127" t="n">
        <ns0:v>2500</ns0:v>
      </ns0:c>
      <ns0:c r="D19" s="127" t="n">
        <ns0:v>1366.6666666666742</ns0:v>
      </ns0:c>
      <ns0:c r="E19" s="127" t="n">
        <ns0:v>858.333333333339</ns0:v>
      </ns0:c>
      <ns0:c r="F19" s="127" t="n">
        <ns0:v>773.6842105263182</ns0:v>
      </ns0:c>
      <ns0:c r="G19" s="127" t="n">
        <ns0:v>925.0000000000018</ns0:v>
      </ns0:c>
      <ns0:c r="H19" s="127" t="n">
        <ns0:v>1375</ns0:v>
      </ns0:c>
      <ns0:c r="I19" s="124"/>
      <ns0:c r="J19" s="124" t="str">
        <ns0:v>2026-08-01</ns0:v>
      </ns0:c>
      <ns0:c r="K19" s="124" t="str">
        <ns0:v>Retrieved</ns0:v>
      </ns0:c>
    </ns0:row>
    <ns0:row r="20" ht="31" customHeight="1">
      <ns0:c r="B20" s="115"/>
      <ns0:c r="C20" s="128"/>
      <ns0:c r="D20" s="128"/>
      <ns0:c r="E20" s="128"/>
      <ns0:c r="F20" s="128"/>
      <ns0:c r="G20" s="128"/>
      <ns0:c r="H20" s="128"/>
    </ns0:row>
    <ns0:row r="22">
      <ns0:c r="B22" t="str">
        <ns0:v>Latest report:</ns0:v>
      </ns0:c>
      <ns0:c r="C22" t="str">
        <ns0:v>https://www.bls.gov/news.release/pdf/empsit.pdf</ns0:v>
      </ns0:c>
    </ns0:row>
    <ns0:row r="23">
      <ns0:c r="B23" t="str">
        <ns0:v>EconVitals:</ns0:v>
      </ns0:c>
      <ns0:c r="C23" t="str">
        <ns0:v>https://econvitals.org/labor/#sec-employment</ns0:v>
      </ns0:c>
    </ns0:row>
    <ns0:row r="24">
      <ns0:c r="B24" t="str">
        <ns0:v>FRED - All:</ns0:v>
      </ns0:c>
      <ns0:c r="C24" t="str">
        <ns0:v>https://fred.stlouisfed.org/series/PAYEMS</ns0:v>
      </ns0:c>
    </ns0:row>
    <ns0:row r="25">
      <ns0:c r="B25" t="str">
        <ns0:v>FRED - Manufacturing:</ns0:v>
      </ns0:c>
      <ns0:c r="C25" t="str">
        <ns0:v>https://fred.stlouisfed.org/series/MANEMP</ns0:v>
      </ns0:c>
    </ns0:row>
    <ns0:row r="27">
      <ns0:c r="B27" t="str">
        <ns0:v>Jobs are persons, seasonally adjusted. Subsets overlap their parent industry.</ns0:v>
      </ns0:c>
    </ns0:row>
    <ns0:row r="28">
      <ns0:c r="B28" t="str">
        <ns0:v>Term average: monthly changes after the 2025-01 baseline. No gaps are interpolated.</ns0:v>
      </ns0:c>
    </ns0:row>
  </ns0:sheetData>
  <ns0:hyperlinks>
    <ns0:hyperlink ref="C22" ns1:id="Rc2468f5d7adb4d81"/>
    <ns0:hyperlink ref="C23" ns1:id="R33e4eb1e64aa4fa6"/>
    <ns0:hyperlink ref="C24" ns1:id="R3adcecf241a74099"/>
    <ns0:hyperlink ref="C25" ns1:id="R79906299fc8d4354"/>
  </ns0:hyperlinks>
  <ns0:pageMargins left="0.7" right="0.7" top="0.75" bottom="0.75" header="0.3" footer="0.3"/>
</ns0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14" customWidth="1"/>
    <x:col min="2" max="2" width="33" hidden="0" customWidth="1"/>
    <x:col min="4" max="4" width="16" customWidth="1"/>
    <x:col min="6" max="6" width="14" customWidth="1"/>
  </x:cols>
  <x:sheetData>
    <x:row r="1">
      <x:c r="A1" s="92" t="str">
        <x:v>Wages refreshed 2026-09-23</x:v>
      </x:c>
    </x:row>
    <x:row r="2" ht="35" customHeight="1">
      <x:c r="B2" s="5"/>
      <x:c r="C2" s="117" t="str">
        <x:v>MoM (%)</x:v>
      </x:c>
      <x:c r="D2" s="145" t="str">
        <x:v>MoM a.r. (%)</x:v>
      </x:c>
      <x:c r="E2" s="145" t="str">
        <x:v>3m a.r. (%)</x:v>
      </x:c>
      <x:c r="F2" s="118" t="str">
        <x:v>YoY (%)</x:v>
      </x:c>
      <x:c r="G2" s="119" t="str">
        <x:v>2024 Dec/Dec</x:v>
      </x:c>
      <x:c r="H2" s="119" t="str">
        <x:v>2023 Dec/Dec</x:v>
      </x:c>
      <x:c r="J2" t="str">
        <x:v>Period</x:v>
      </x:c>
    </x:row>
    <x:row r="3">
      <x:c r="B3" s="15" t="str">
        <x:v>Average Hourly Earnings</x:v>
      </x:c>
      <x:c r="C3" s="140" t="n">
        <x:v>0.26560424966799445</x:v>
      </x:c>
      <x:c r="D3" s="141" t="n">
        <x:v>3.234225796234824</x:v>
      </x:c>
      <x:c r="E3" s="142" t="n">
        <x:v>2.80306479698913</x:v>
      </x:c>
      <x:c r="F3" s="143" t="n">
        <x:v>3.085745494265435</x:v>
      </x:c>
      <x:c r="G3" s="144" t="n">
        <x:v>4.082822980460765</x:v>
      </x:c>
      <x:c r="H3" s="144" t="n">
        <x:v>4.098360655737721</x:v>
      </x:c>
      <x:c r="J3" t="str">
        <x:v>2026-08-01</x:v>
      </x:c>
    </x:row>
    <x:row r="4">
      <x:c r="B4" s="15" t="str">
        <x:v>Real AHE (calculated)</x:v>
      </x:c>
      <x:c r="C4" s="140" t="n">
        <x:v>-0.12989950904059855</x:v>
      </x:c>
      <x:c r="D4" s="141" t="n">
        <x:v>-1.5477054274220303</x:v>
      </x:c>
      <x:c r="E4" s="142" t="n">
        <x:v>2.616127262078183</x:v>
      </x:c>
      <x:c r="F4" s="143" t="n">
        <x:v>-0.25859993060635134</x:v>
      </x:c>
      <x:c r="G4" s="144" t="n">
        <x:v>1.1783064753921435</x:v>
      </x:c>
      <x:c r="H4" s="144" t="n">
        <x:v>0.7573380648355998</x:v>
      </x:c>
      <x:c r="J4" t="str">
        <x:v>2026-08-01</x:v>
      </x:c>
    </x:row>
    <x:row r="7">
      <x:c r="B7" t="str">
        <x:v>SA; percentages in points. Real earnings calculated with CPI-U.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30" t="str">
        <x:v>Prime-Age Participation — retrieved 2026-09-23</x:v>
      </x:c>
    </x:row>
    <x:row r="3" ht="32" customHeight="1">
      <x:c r="B3" s="135" t="str">
        <x:v>Measure</x:v>
      </x:c>
      <x:c r="C3" s="135" t="str">
        <x:v>Period</x:v>
      </x:c>
      <x:c r="D3" s="135" t="str">
        <x:v>Rate (%)</x:v>
      </x:c>
      <x:c r="E3" s="135" t="str">
        <x:v>1m change (pp)</x:v>
      </x:c>
      <x:c r="F3" s="135" t="str">
        <x:v>1y change (pp)</x:v>
      </x:c>
      <x:c r="G3" s="135" t="str">
        <x:v>Status</x:v>
      </x:c>
    </x:row>
    <x:row r="4" ht="30" customHeight="1">
      <x:c r="B4" s="138" t="str">
        <x:v>Prime age (25-54)</x:v>
      </x:c>
      <x:c r="C4" s="137" t="str">
        <x:v>2026-08-01</x:v>
      </x:c>
      <x:c r="D4" s="137" t="n">
        <x:v>83.4</x:v>
      </x:c>
      <x:c r="E4" s="137" t="n">
        <x:v>0</x:v>
      </x:c>
      <x:c r="F4" s="137" t="n">
        <x:v>-0.29999999999999716</x:v>
      </x:c>
      <x:c r="G4" s="137" t="str">
        <x:v>Retrieved</x:v>
      </x:c>
    </x:row>
    <x:row r="5" ht="30" customHeight="1">
      <x:c r="B5" s="138" t="str">
        <x:v>Prime-age employment / population</x:v>
      </x:c>
      <x:c r="C5" s="137" t="str">
        <x:v>2026-08-01</x:v>
      </x:c>
      <x:c r="D5" s="137" t="n">
        <x:v>80.4</x:v>
      </x:c>
      <x:c r="E5" s="137" t="n">
        <x:v>0</x:v>
      </x:c>
      <x:c r="F5" s="137" t="n">
        <x:v>-0.29999999999999716</x:v>
      </x:c>
      <x:c r="G5" s="137" t="str">
        <x:v>Retrieved</x:v>
      </x:c>
    </x:row>
    <x:row r="8">
      <x:c r="B8" t="str">
        <x:v>SA rates. Changes are percentage points.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30" t="str">
        <x:v>Unemployment Rates — retrieved 2026-09-23</x:v>
      </x:c>
    </x:row>
    <x:row r="3" ht="32" customHeight="1">
      <x:c r="B3" s="135" t="str">
        <x:v>Measure</x:v>
      </x:c>
      <x:c r="C3" s="135" t="str">
        <x:v>Period</x:v>
      </x:c>
      <x:c r="D3" s="135" t="str">
        <x:v>Rate (%)</x:v>
      </x:c>
      <x:c r="E3" s="135" t="str">
        <x:v>1m change (pp)</x:v>
      </x:c>
      <x:c r="F3" s="135" t="str">
        <x:v>1y change (pp)</x:v>
      </x:c>
      <x:c r="G3" s="135" t="str">
        <x:v>Status</x:v>
      </x:c>
    </x:row>
    <x:row r="4" ht="30" customHeight="1">
      <x:c r="B4" s="138" t="str">
        <x:v>Overall (U-3)</x:v>
      </x:c>
      <x:c r="C4" s="137" t="str">
        <x:v>2026-08-01</x:v>
      </x:c>
      <x:c r="D4" s="137" t="n">
        <x:v>4.1</x:v>
      </x:c>
      <x:c r="E4" s="137" t="n">
        <x:v>0</x:v>
      </x:c>
      <x:c r="F4" s="137" t="n">
        <x:v>-0.20000000000000018</x:v>
      </x:c>
      <x:c r="G4" s="137" t="str">
        <x:v>Retrieved</x:v>
      </x:c>
    </x:row>
    <x:row r="5" ht="30" customHeight="1">
      <x:c r="B5" s="138" t="str">
        <x:v>Prime age (25-54)</x:v>
      </x:c>
      <x:c r="C5" s="137" t="str">
        <x:v>2026-08-01</x:v>
      </x:c>
      <x:c r="D5" s="137" t="n">
        <x:v>3.6</x:v>
      </x:c>
      <x:c r="E5" s="137" t="n">
        <x:v>0</x:v>
      </x:c>
      <x:c r="F5" s="137" t="n">
        <x:v>0</x:v>
      </x:c>
      <x:c r="G5" s="137" t="str">
        <x:v>Retrieved</x:v>
      </x:c>
    </x:row>
    <x:row r="6" ht="30" customHeight="1">
      <x:c r="B6" s="138" t="str">
        <x:v>Men (16+)</x:v>
      </x:c>
      <x:c r="C6" s="137" t="str">
        <x:v>2026-08-01</x:v>
      </x:c>
      <x:c r="D6" s="137" t="n">
        <x:v>4.4</x:v>
      </x:c>
      <x:c r="E6" s="137" t="n">
        <x:v>0.20000000000000018</x:v>
      </x:c>
      <x:c r="F6" s="137" t="n">
        <x:v>0</x:v>
      </x:c>
      <x:c r="G6" s="137" t="str">
        <x:v>Retrieved</x:v>
      </x:c>
    </x:row>
    <x:row r="7" ht="30" customHeight="1">
      <x:c r="B7" s="138" t="str">
        <x:v>Women (16+)</x:v>
      </x:c>
      <x:c r="C7" s="137" t="str">
        <x:v>2026-08-01</x:v>
      </x:c>
      <x:c r="D7" s="137" t="n">
        <x:v>3.9</x:v>
      </x:c>
      <x:c r="E7" s="137" t="n">
        <x:v>0</x:v>
      </x:c>
      <x:c r="F7" s="137" t="n">
        <x:v>-0.3999999999999999</x:v>
      </x:c>
      <x:c r="G7" s="137" t="str">
        <x:v>Retrieved</x:v>
      </x:c>
    </x:row>
    <x:row r="8" ht="30" customHeight="1">
      <x:c r="B8" s="138" t="str">
        <x:v>White</x:v>
      </x:c>
      <x:c r="C8" s="137" t="str">
        <x:v>2026-08-01</x:v>
      </x:c>
      <x:c r="D8" s="137" t="n">
        <x:v>3.7</x:v>
      </x:c>
      <x:c r="E8" s="137" t="n">
        <x:v>0.10000000000000009</x:v>
      </x:c>
      <x:c r="F8" s="137" t="n">
        <x:v>0</x:v>
      </x:c>
      <x:c r="G8" s="137" t="str">
        <x:v>Retrieved</x:v>
      </x:c>
    </x:row>
    <x:row r="9" ht="30" customHeight="1">
      <x:c r="B9" s="138" t="str">
        <x:v>Black or African American</x:v>
      </x:c>
      <x:c r="C9" s="137" t="str">
        <x:v>2026-08-01</x:v>
      </x:c>
      <x:c r="D9" s="137" t="n">
        <x:v>6</x:v>
      </x:c>
      <x:c r="E9" s="137" t="n">
        <x:v>-0.2999999999999998</x:v>
      </x:c>
      <x:c r="F9" s="137" t="n">
        <x:v>-1.5999999999999996</x:v>
      </x:c>
      <x:c r="G9" s="137" t="str">
        <x:v>Retrieved</x:v>
      </x:c>
    </x:row>
    <x:row r="10" ht="30" customHeight="1">
      <x:c r="B10" s="138" t="str">
        <x:v>Hispanic or Latino</x:v>
      </x:c>
      <x:c r="C10" s="137" t="str">
        <x:v>2026-08-01</x:v>
      </x:c>
      <x:c r="D10" s="137" t="n">
        <x:v>4.8</x:v>
      </x:c>
      <x:c r="E10" s="137" t="n">
        <x:v>0.20000000000000018</x:v>
      </x:c>
      <x:c r="F10" s="137" t="n">
        <x:v>-0.5</x:v>
      </x:c>
      <x:c r="G10" s="137" t="str">
        <x:v>Retrieved</x:v>
      </x:c>
    </x:row>
    <x:row r="11" ht="30" customHeight="1">
      <x:c r="B11" s="138" t="str">
        <x:v>Asian</x:v>
      </x:c>
      <x:c r="C11" s="137" t="str">
        <x:v>2026-08-01</x:v>
      </x:c>
      <x:c r="D11" s="137" t="n">
        <x:v>3.2</x:v>
      </x:c>
      <x:c r="E11" s="137" t="n">
        <x:v>-0.7999999999999998</x:v>
      </x:c>
      <x:c r="F11" s="137" t="n">
        <x:v>-0.3999999999999999</x:v>
      </x:c>
      <x:c r="G11" s="137" t="str">
        <x:v>Retrieved</x:v>
      </x:c>
    </x:row>
    <x:row r="14">
      <x:c r="B14" t="str">
        <x:v>SA, ages 16+ unless labeled otherwise. Hispanic ethnicity may be of any race. Groups overlap.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30" t="str">
        <x:v>Michigan Consumer Sentiment — retrieved 2026-09-23</x:v>
      </x:c>
    </x:row>
    <x:row r="3" ht="32" customHeight="1">
      <x:c r="B3" s="135" t="str">
        <x:v>Measure</x:v>
      </x:c>
      <x:c r="C3" s="135" t="str">
        <x:v>Period</x:v>
      </x:c>
      <x:c r="D3" s="135" t="str">
        <x:v>Index</x:v>
      </x:c>
      <x:c r="E3" s="135" t="str">
        <x:v>Prior month</x:v>
      </x:c>
      <x:c r="F3" s="135" t="str">
        <x:v>Year ago</x:v>
      </x:c>
      <x:c r="G3" s="135" t="str">
        <x:v>Status</x:v>
      </x:c>
    </x:row>
    <x:row r="4" ht="30" customHeight="1">
      <x:c r="B4" s="138" t="str">
        <x:v>Consumer sentiment</x:v>
      </x:c>
      <x:c r="C4" s="137" t="str">
        <x:v>2026-07-01</x:v>
      </x:c>
      <x:c r="D4" s="137" t="n">
        <x:v>55.2</x:v>
      </x:c>
      <x:c r="E4" s="137" t="n">
        <x:v>49.5</x:v>
      </x:c>
      <x:c r="F4" s="137" t="n">
        <x:v>61.7</x:v>
      </x:c>
      <x:c r="G4" s="137" t="str">
        <x:v>Retrieved</x:v>
      </x:c>
    </x:row>
    <x:row r="7">
      <x:c r="B7" t="str">
        <x:v>University of Michigan, Surveys of Consumers © UMCSENT, retrieved from FRED. FRED data delayed one month.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2" max="2" width="12.75" customWidth="1"/>
    <x:col min="3" max="3" width="32.75" customWidth="1"/>
    <x:col min="5" max="5" width="18" customWidth="1"/>
  </x:cols>
  <x:sheetData>
    <x:row r="2" ht="22.5" customHeight="1">
      <x:c r="B2" s="79" t="s">
        <x:v>41</x:v>
      </x:c>
      <x:c r="C2" s="79" t="s">
        <x:v>42</x:v>
      </x:c>
      <x:c r="D2" s="79" t="s">
        <x:v>43</x:v>
      </x:c>
      <x:c r="E2" s="79" t="s">
        <x:v>44</x:v>
      </x:c>
      <x:c r="G2" t="str">
        <x:v>Manual schedule; not refreshed</x:v>
      </x:c>
    </x:row>
    <x:row r="3" ht="22.5" customHeight="1">
      <x:c r="B3" s="80" t="s">
        <x:v>45</x:v>
      </x:c>
      <x:c r="C3" s="81" t="s">
        <x:v>46</x:v>
      </x:c>
      <x:c r="D3" s="81" t="s">
        <x:v>47</x:v>
      </x:c>
      <x:c r="E3" s="81" t="s">
        <x:v>48</x:v>
      </x:c>
    </x:row>
    <x:row r="4" ht="22.5" customHeight="1">
      <x:c r="B4" s="80" t="s">
        <x:v>45</x:v>
      </x:c>
      <x:c r="C4" s="81" t="s">
        <x:v>49</x:v>
      </x:c>
      <x:c r="D4" s="81" t="s">
        <x:v>50</x:v>
      </x:c>
      <x:c r="E4" s="81" t="s">
        <x:v>51</x:v>
      </x:c>
    </x:row>
    <x:row r="5" ht="22.5" customHeight="1">
      <x:c r="B5" s="80" t="s">
        <x:v>52</x:v>
      </x:c>
      <x:c r="C5" s="81" t="s">
        <x:v>53</x:v>
      </x:c>
      <x:c r="D5" s="81" t="s">
        <x:v>50</x:v>
      </x:c>
      <x:c r="E5" s="82">
        <x:v>0.011</x:v>
      </x:c>
    </x:row>
    <x:row r="6" ht="22.5" customHeight="1">
      <x:c r="B6" s="83" t="s">
        <x:v>52</x:v>
      </x:c>
      <x:c r="C6" s="84" t="s">
        <x:v>54</x:v>
      </x:c>
      <x:c r="D6" s="84" t="s">
        <x:v>55</x:v>
      </x:c>
      <x:c r="E6" s="84">
        <x:v>51.7</x:v>
      </x:c>
    </x:row>
    <x:row r="7" ht="22.5" customHeight="1">
      <x:c r="B7" s="80" t="s">
        <x:v>56</x:v>
      </x:c>
      <x:c r="C7" s="81" t="s">
        <x:v>57</x:v>
      </x:c>
      <x:c r="D7" s="81" t="s">
        <x:v>55</x:v>
      </x:c>
      <x:c r="E7" s="85"/>
    </x:row>
    <x:row r="8" ht="22.5" customHeight="1">
      <x:c r="B8" s="80" t="s">
        <x:v>56</x:v>
      </x:c>
      <x:c r="C8" s="81" t="s">
        <x:v>58</x:v>
      </x:c>
      <x:c r="D8" s="81" t="s">
        <x:v>50</x:v>
      </x:c>
      <x:c r="E8" s="81" t="s">
        <x:v>59</x:v>
      </x:c>
    </x:row>
    <x:row r="9" ht="22.5" customHeight="1">
      <x:c r="B9" s="80" t="s">
        <x:v>56</x:v>
      </x:c>
      <x:c r="C9" s="81" t="s">
        <x:v>60</x:v>
      </x:c>
      <x:c r="D9" s="81" t="s">
        <x:v>61</x:v>
      </x:c>
      <x:c r="E9" s="82">
        <x:v>0.021</x:v>
      </x:c>
    </x:row>
    <x:row r="10" ht="22.5" customHeight="1">
      <x:c r="B10" s="80" t="s">
        <x:v>62</x:v>
      </x:c>
      <x:c r="C10" s="81" t="s">
        <x:v>63</x:v>
      </x:c>
      <x:c r="D10" s="81" t="s">
        <x:v>64</x:v>
      </x:c>
      <x:c r="E10" s="82">
        <x:v>0.015</x:v>
      </x:c>
    </x:row>
    <x:row r="11" ht="22.5" customHeight="1">
      <x:c r="B11" s="83" t="s">
        <x:v>62</x:v>
      </x:c>
      <x:c r="C11" s="84" t="s">
        <x:v>65</x:v>
      </x:c>
      <x:c r="D11" s="84" t="s">
        <x:v>50</x:v>
      </x:c>
      <x:c r="E11" s="84" t="s">
        <x:v>66</x:v>
      </x:c>
    </x:row>
    <x:row r="12" ht="22.5" customHeight="1">
      <x:c r="B12" s="80" t="s">
        <x:v>62</x:v>
      </x:c>
      <x:c r="C12" s="81" t="s">
        <x:v>67</x:v>
      </x:c>
      <x:c r="D12" s="81" t="s">
        <x:v>50</x:v>
      </x:c>
      <x:c r="E12" s="81" t="s">
        <x:v>68</x:v>
      </x:c>
    </x:row>
    <x:row r="13" ht="22.5" customHeight="1">
      <x:c r="B13" s="86" t="s">
        <x:v>69</x:v>
      </x:c>
      <x:c r="C13" s="81" t="s">
        <x:v>46</x:v>
      </x:c>
      <x:c r="D13" s="81" t="s">
        <x:v>47</x:v>
      </x:c>
      <x:c r="E13" s="81" t="s">
        <x:v>48</x:v>
      </x:c>
    </x:row>
    <x:row r="14" ht="22.5" customHeight="1">
      <x:c r="B14" s="87" t="s">
        <x:v>70</x:v>
      </x:c>
      <x:c r="C14" s="84" t="s">
        <x:v>71</x:v>
      </x:c>
      <x:c r="D14" s="83" t="s">
        <x:v>55</x:v>
      </x:c>
      <x:c r="E14" s="84" t="s">
        <x:v>72</x:v>
      </x:c>
    </x:row>
    <x:row r="15" ht="22.5" customHeight="1">
      <x:c r="B15" s="88" t="s">
        <x:v>73</x:v>
      </x:c>
      <x:c r="C15" s="81" t="s">
        <x:v>46</x:v>
      </x:c>
      <x:c r="D15" s="81" t="s">
        <x:v>47</x:v>
      </x:c>
      <x:c r="E15" s="81" t="s">
        <x:v>48</x:v>
      </x:c>
    </x:row>
    <x:row r="16" ht="22.5" customHeight="1">
      <x:c r="B16" s="87" t="s">
        <x:v>74</x:v>
      </x:c>
      <x:c r="C16" s="84" t="s">
        <x:v>75</x:v>
      </x:c>
      <x:c r="D16" s="84" t="s">
        <x:v>55</x:v>
      </x:c>
      <x:c r="E16" s="84" t="s">
        <x:v>76</x:v>
      </x:c>
    </x:row>
    <x:row r="17" ht="22.5" customHeight="1">
      <x:c r="B17" s="88" t="s">
        <x:v>77</x:v>
      </x:c>
      <x:c r="C17" s="89" t="s">
        <x:v>78</x:v>
      </x:c>
      <x:c r="D17" s="89" t="s">
        <x:v>55</x:v>
      </x:c>
      <x:c r="E17" s="89" t="s">
        <x:v>76</x:v>
      </x:c>
    </x:row>
    <x:row r="18">
      <x:c r="B18" s="90"/>
      <x:c r="C18" s="90"/>
      <x:c r="D18" s="90"/>
      <x:c r="E18" s="90"/>
    </x:row>
    <x:row r="21">
      <x:c r="B21" s="30" t="s">
        <x:v>14</x:v>
      </x:c>
      <x:c r="C21" s="50" t="s">
        <x:v>79</x:v>
      </x:c>
    </x:row>
  </x:sheetData>
  <x:dataValidations count="1">
    <x:dataValidation allowBlank="1" showDropDown="1" sqref="B3:B17"/>
  </x:dataValidations>
  <x:hyperlinks>
    <x:hyperlink xmlns:r="http://schemas.openxmlformats.org/officeDocument/2006/relationships" ref="C21" r:id="R50e6f030f81948b3"/>
  </x:hyperlinks>
  <x:pageMargins left="0.7" right="0.7" top="0.75" bottom="0.75" header="0.3" footer="0.3"/>
  <x:tableParts count="1">
    <x:tablePart xmlns:r="http://schemas.openxmlformats.org/officeDocument/2006/relationships" r:id="R4dffbf394f4b4770"/>
  </x:tableParts>
</x:worksheet>
</file>

<file path=xl/worksheets/sheet10.xml><?xml version="1.0" encoding="utf-8"?>
<x:worksheet xmlns:x="http://schemas.openxmlformats.org/spreadsheetml/2006/main">
  <x:sheetFormatPr defaultColWidth="12.630000114440918" defaultRowHeight="15.75"/>
  <x:sheetData>
    <x:row r="1">
      <x:c r="A1" t="str">
        <x:v>Custom GDP chart: use the graph download script</x:v>
      </x:c>
    </x:row>
    <x:row r="3">
      <x:c r="A3" t="str">
        <x:v>User supplied G7 GDP graph</x:v>
      </x:c>
    </x:row>
    <x:row r="4">
      <x:c r="A4" t="str">
        <x:v>https://fred.stlouisfed.org/graph/?g=1tBaE</x:v>
      </x:c>
    </x:row>
    <x:row r="6">
      <x:c r="A6" t="str">
        <x:v>National real GDP levels have different units. Use growth rates for cross-country comparisons.</x:v>
      </x:c>
    </x:row>
    <x:row r="9">
      <x:c r="A9" s="59" t="s">
        <x:v>80</x:v>
      </x:c>
    </x:row>
  </x:sheetData>
  <x:hyperlinks>
    <x:hyperlink xmlns:r="http://schemas.openxmlformats.org/officeDocument/2006/relationships" ref="A9" r:id="R5a18c5c5fcce4350"/>
  </x:hyperlink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30" t="str">
        <x:v>Prices of specific goods — retrieved 2026-09-23</x:v>
      </x:c>
    </x:row>
    <x:row r="3" ht="32" customHeight="1">
      <x:c r="B3" s="135" t="str">
        <x:v>Measure</x:v>
      </x:c>
      <x:c r="C3" s="135" t="str">
        <x:v>Period</x:v>
      </x:c>
      <x:c r="D3" s="135" t="str">
        <x:v>Level</x:v>
      </x:c>
      <x:c r="E3" s="135" t="str">
        <x:v>MoM (%)</x:v>
      </x:c>
      <x:c r="F3" s="135" t="str">
        <x:v>YoY (%)</x:v>
      </x:c>
      <x:c r="G3" s="135" t="str">
        <x:v>Status</x:v>
      </x:c>
    </x:row>
    <x:row r="4" ht="30" customHeight="1">
      <x:c r="B4" s="138" t="str">
        <x:v>New Vehicles</x:v>
      </x:c>
      <x:c r="C4" s="137" t="str">
        <x:v>2026-08-01</x:v>
      </x:c>
      <x:c r="D4" s="137" t="n">
        <x:v>179.259</x:v>
      </x:c>
      <x:c r="E4" s="137" t="n">
        <x:v>0.25110452435546105</x:v>
      </x:c>
      <x:c r="F4" s="137" t="n">
        <x:v>0.5688799124800026</x:v>
      </x:c>
      <x:c r="G4" s="137" t="str">
        <x:v>Retrieved</x:v>
      </x:c>
    </x:row>
    <x:row r="5" ht="30" customHeight="1">
      <x:c r="B5" s="138" t="str">
        <x:v>Used Cars and Trucks</x:v>
      </x:c>
      <x:c r="C5" s="137" t="str">
        <x:v>2026-08-01</x:v>
      </x:c>
      <x:c r="D5" s="137" t="n">
        <x:v>180.965</x:v>
      </x:c>
      <x:c r="E5" s="137" t="n">
        <x:v>0.36548977848767095</x:v>
      </x:c>
      <x:c r="F5" s="137" t="n">
        <x:v>-2.317836110526339</x:v>
      </x:c>
      <x:c r="G5" s="137" t="str">
        <x:v>Retrieved</x:v>
      </x:c>
    </x:row>
    <x:row r="6" ht="30" customHeight="1">
      <x:c r="B6" s="138" t="str">
        <x:v>Apparel</x:v>
      </x:c>
      <x:c r="C6" s="137" t="str">
        <x:v>2026-08-01</x:v>
      </x:c>
      <x:c r="D6" s="137" t="n">
        <x:v>136.457</x:v>
      </x:c>
      <x:c r="E6" s="137" t="n">
        <x:v>0.01685796795520833</x:v>
      </x:c>
      <x:c r="F6" s="137" t="n">
        <x:v>3.6167175421811137</x:v>
      </x:c>
      <x:c r="G6" s="137" t="str">
        <x:v>Retrieved</x:v>
      </x:c>
    </x:row>
    <x:row r="7" ht="30" customHeight="1">
      <x:c r="B7" s="138" t="str">
        <x:v>Food at Home</x:v>
      </x:c>
      <x:c r="C7" s="137" t="str">
        <x:v>2026-08-01</x:v>
      </x:c>
      <x:c r="D7" s="137" t="n">
        <x:v>321.335</x:v>
      </x:c>
      <x:c r="E7" s="137" t="n">
        <x:v>0.0370467224546589</x:v>
      </x:c>
      <x:c r="F7" s="137" t="n">
        <x:v>2.125556576099563</x:v>
      </x:c>
      <x:c r="G7" s="137" t="str">
        <x:v>Retrieved</x:v>
      </x:c>
    </x:row>
    <x:row r="8" ht="30" customHeight="1">
      <x:c r="B8" s="138" t="str">
        <x:v>Meats, Poultry, Fish, and Eggs</x:v>
      </x:c>
      <x:c r="C8" s="137" t="str">
        <x:v>2026-08-01</x:v>
      </x:c>
      <x:c r="D8" s="137" t="n">
        <x:v>349.99</x:v>
      </x:c>
      <x:c r="E8" s="137" t="n">
        <x:v>0.11212878792212777</x:v>
      </x:c>
      <x:c r="F8" s="137" t="n">
        <x:v>0.9047086365366219</x:v>
      </x:c>
      <x:c r="G8" s="137" t="str">
        <x:v>Retrieved</x:v>
      </x:c>
    </x:row>
    <x:row r="11">
      <x:c r="B11" t="str">
        <x:v>CPI price indexes, SA. Index levels use their source base periods; growth in percent.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cols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30"/>
    </x:row>
    <x:row r="4">
      <x:c r="A4" s="30" t="s">
        <x:v>81</x:v>
      </x:c>
      <x:c r="B4" s="50" t="s">
        <x:v>82</x:v>
      </x:c>
    </x:row>
    <x:row r="5">
      <x:c r="A5" s="30" t="s">
        <x:v>83</x:v>
      </x:c>
      <x:c r="B5" s="50" t="s">
        <x:v>84</x:v>
      </x:c>
    </x:row>
    <x:row r="8">
      <x:c r="B8" s="133" t="str">
        <x:v>Industry or state</x:v>
      </x:c>
      <x:c r="C8" s="133" t="str">
        <x:v>Period</x:v>
      </x:c>
      <x:c r="D8" s="133" t="str">
        <x:v>Jobs</x:v>
      </x:c>
      <x:c r="E8" s="133" t="str">
        <x:v>1m change</x:v>
      </x:c>
      <x:c r="F8" s="133" t="str">
        <x:v>1y change</x:v>
      </x:c>
      <x:c r="G8" s="133" t="str">
        <x:v>Status</x:v>
      </x:c>
    </x:row>
    <x:row r="9" ht="30" customHeight="1">
      <x:c r="B9" s="115" t="str">
        <x:v>Michigan manufacturing</x:v>
      </x:c>
      <x:c r="C9" t="str">
        <x:v>2026-08-01</x:v>
      </x:c>
      <x:c r="D9" s="148" t="n">
        <x:v>583300</x:v>
      </x:c>
      <x:c r="E9" s="148" t="n">
        <x:v>-2000</x:v>
      </x:c>
      <x:c r="F9" s="148" t="n">
        <x:v>-2100.0000000000227</x:v>
      </x:c>
      <x:c r="G9" t="str">
        <x:v>Retrieved</x:v>
      </x:c>
    </x:row>
    <x:row r="10" ht="30" customHeight="1">
      <x:c r="B10" s="115" t="str">
        <x:v>Ohio manufacturing</x:v>
      </x:c>
      <x:c r="C10" t="str">
        <x:v>2026-08-01</x:v>
      </x:c>
      <x:c r="D10" s="148" t="n">
        <x:v>688300</x:v>
      </x:c>
      <x:c r="E10" s="148" t="n">
        <x:v>-700.0000000000455</x:v>
      </x:c>
      <x:c r="F10" s="148" t="n">
        <x:v>12500</x:v>
      </x:c>
      <x:c r="G10" t="str">
        <x:v>Retrieved</x:v>
      </x:c>
    </x:row>
    <x:row r="11" ht="30" customHeight="1">
      <x:c r="B11" s="115" t="str">
        <x:v>Wisconsin manufacturing</x:v>
      </x:c>
      <x:c r="C11" t="str">
        <x:v>2026-08-01</x:v>
      </x:c>
      <x:c r="D11" s="148" t="n">
        <x:v>458400</x:v>
      </x:c>
      <x:c r="E11" s="148" t="n">
        <x:v>299.9999999999545</x:v>
      </x:c>
      <x:c r="F11" s="148" t="n">
        <x:v>1199.9999999999886</x:v>
      </x:c>
      <x:c r="G11" t="str">
        <x:v>Retrieved</x:v>
      </x:c>
    </x:row>
    <x:row r="12" ht="30" customHeight="1">
      <x:c r="B12" s="115" t="str">
        <x:v>Pennsylvania manufacturing</x:v>
      </x:c>
      <x:c r="C12" t="str">
        <x:v>2026-08-01</x:v>
      </x:c>
      <x:c r="D12" s="148" t="n">
        <x:v>557300</x:v>
      </x:c>
      <x:c r="E12" s="148" t="n">
        <x:v>-200.00000000004547</x:v>
      </x:c>
      <x:c r="F12" s="148" t="n">
        <x:v>2199.999999999932</x:v>
      </x:c>
      <x:c r="G12" t="str">
        <x:v>Retrieved</x:v>
      </x:c>
    </x:row>
    <x:row r="13" ht="30" customHeight="1">
      <x:c r="B13" s="115" t="str">
        <x:v>Minnesota manufacturing</x:v>
      </x:c>
      <x:c r="C13" t="str">
        <x:v>2026-08-01</x:v>
      </x:c>
      <x:c r="D13" s="148" t="n">
        <x:v>324700</x:v>
      </x:c>
      <x:c r="E13" s="148" t="n">
        <x:v>2199.9999999999886</x:v>
      </x:c>
      <x:c r="F13" s="148" t="n">
        <x:v>10599.999999999965</x:v>
      </x:c>
      <x:c r="G13" t="str">
        <x:v>Retrieved</x:v>
      </x:c>
    </x:row>
    <x:row r="14" ht="30" customHeight="1">
      <x:c r="B14" s="115" t="str">
        <x:v>Motor vehicles and parts manufacturing</x:v>
      </x:c>
      <x:c r="C14" t="str">
        <x:v>2026-08-01</x:v>
      </x:c>
      <x:c r="D14" s="148" t="n">
        <x:v>962800</x:v>
      </x:c>
      <x:c r="E14" s="148" t="n">
        <x:v>-4500</x:v>
      </x:c>
      <x:c r="F14" s="148" t="n">
        <x:v>-400.00000000009095</x:v>
      </x:c>
      <x:c r="G14" t="str">
        <x:v>Retrieved</x:v>
      </x:c>
    </x:row>
    <x:row r="15" ht="30" customHeight="1">
      <x:c r="B15" s="115" t="str">
        <x:v>Motor vehicle and parts dealers</x:v>
      </x:c>
      <x:c r="C15" t="str">
        <x:v>2026-08-01</x:v>
      </x:c>
      <x:c r="D15" s="148" t="n">
        <x:v>2051600</x:v>
      </x:c>
      <x:c r="E15" s="148" t="n">
        <x:v>-900.000000000091</x:v>
      </x:c>
      <x:c r="F15" s="148" t="n">
        <x:v>4699.999999999818</x:v>
      </x:c>
      <x:c r="G15" t="str">
        <x:v>Retrieved</x:v>
      </x:c>
    </x:row>
    <x:row r="16" ht="30" customHeight="1">
      <x:c r="B16" s="115"/>
      <x:c r="D16" s="148"/>
      <x:c r="E16" s="148"/>
      <x:c r="F16" s="148"/>
    </x:row>
    <x:row r="17" ht="30" customHeight="1">
      <x:c r="B17" s="115"/>
      <x:c r="D17" s="148"/>
      <x:c r="E17" s="148"/>
      <x:c r="F17" s="148"/>
    </x:row>
    <x:row r="18" ht="30" customHeight="1">
      <x:c r="B18" s="115"/>
      <x:c r="D18" s="148"/>
      <x:c r="E18" s="148"/>
      <x:c r="F18" s="148"/>
    </x:row>
    <x:row r="19">
      <x:c r="B19" t="str">
        <x:v>Selected states and auto industries; SA persons. States can have different reporting months.</x:v>
      </x:c>
    </x:row>
  </x:sheetData>
  <x:hyperlinks>
    <x:hyperlink xmlns:r="http://schemas.openxmlformats.org/officeDocument/2006/relationships" ref="B4" r:id="R73d8ba548f2c4119"/>
    <x:hyperlink xmlns:r="http://schemas.openxmlformats.org/officeDocument/2006/relationships" ref="B5" r:id="R08da82daaa4942e0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30" t="str">
        <x:v>Business Applications — retrieved 2026-09-23</x:v>
      </x:c>
    </x:row>
    <x:row r="3" ht="32" customHeight="1">
      <x:c r="B3" s="135" t="str">
        <x:v>Measure</x:v>
      </x:c>
      <x:c r="C3" s="135" t="str">
        <x:v>Period</x:v>
      </x:c>
      <x:c r="D3" s="135" t="str">
        <x:v>Level</x:v>
      </x:c>
      <x:c r="E3" s="135" t="str">
        <x:v>MoM (%)</x:v>
      </x:c>
      <x:c r="F3" s="135" t="str">
        <x:v>YoY (%)</x:v>
      </x:c>
      <x:c r="G3" s="135" t="str">
        <x:v>Status</x:v>
      </x:c>
    </x:row>
    <x:row r="4" ht="30" customHeight="1">
      <x:c r="B4" s="138" t="str">
        <x:v>Total applications</x:v>
      </x:c>
      <x:c r="C4" s="137" t="str">
        <x:v>2026-08-01</x:v>
      </x:c>
      <x:c r="D4" s="146" t="n">
        <x:v>531728</x:v>
      </x:c>
      <x:c r="E4" s="137" t="n">
        <x:v>-7.768095026642985</x:v>
      </x:c>
      <x:c r="F4" s="137" t="n">
        <x:v>11.377875155265183</x:v>
      </x:c>
      <x:c r="G4" s="137" t="str">
        <x:v>Retrieved</x:v>
      </x:c>
    </x:row>
    <x:row r="5" ht="30" customHeight="1">
      <x:c r="B5" s="138" t="str">
        <x:v>High-propensity applications</x:v>
      </x:c>
      <x:c r="C5" s="137" t="str">
        <x:v>2026-08-01</x:v>
      </x:c>
      <x:c r="D5" s="146" t="n">
        <x:v>145387</x:v>
      </x:c>
      <x:c r="E5" s="137" t="n">
        <x:v>-4.102080392596596</x:v>
      </x:c>
      <x:c r="F5" s="137" t="n">
        <x:v>1.9201110425663082</x:v>
      </x:c>
      <x:c r="G5" s="137" t="str">
        <x:v>Retrieved</x:v>
      </x:c>
    </x:row>
    <x:row r="8">
      <x:c r="B8" t="str">
        <x:v>Monthly applications, SA. High propensity is a subset of total applications; applications are not business formations.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30" t="str">
        <x:v>Claims — retrieved 2026-09-23</x:v>
      </x:c>
    </x:row>
    <x:row r="3" ht="32" customHeight="1">
      <x:c r="B3" s="135" t="str">
        <x:v>Measure</x:v>
      </x:c>
      <x:c r="C3" s="135" t="str">
        <x:v>Week ending</x:v>
      </x:c>
      <x:c r="D3" s="135" t="str">
        <x:v>Claims</x:v>
      </x:c>
      <x:c r="E3" s="135" t="str">
        <x:v>1 week ago</x:v>
      </x:c>
      <x:c r="F3" s="135" t="str">
        <x:v>52 weeks ago</x:v>
      </x:c>
      <x:c r="G3" s="135" t="str">
        <x:v>Status</x:v>
      </x:c>
    </x:row>
    <x:row r="4" ht="30" customHeight="1">
      <x:c r="B4" s="138" t="str">
        <x:v>Initial claims</x:v>
      </x:c>
      <x:c r="C4" s="137" t="str">
        <x:v>2026-09-12</x:v>
      </x:c>
      <x:c r="D4" s="146" t="n">
        <x:v>196000</x:v>
      </x:c>
      <x:c r="E4" s="146" t="n">
        <x:v>206000</x:v>
      </x:c>
      <x:c r="F4" s="146" t="n">
        <x:v>233000</x:v>
      </x:c>
      <x:c r="G4" s="137" t="str">
        <x:v>Retrieved</x:v>
      </x:c>
    </x:row>
    <x:row r="5" ht="30" customHeight="1">
      <x:c r="B5" s="138" t="str">
        <x:v>Initial claims 4-week average</x:v>
      </x:c>
      <x:c r="C5" s="137" t="str">
        <x:v>2026-09-12</x:v>
      </x:c>
      <x:c r="D5" s="146" t="n">
        <x:v>203250</x:v>
      </x:c>
      <x:c r="E5" s="146" t="n">
        <x:v>206000</x:v>
      </x:c>
      <x:c r="F5" s="146" t="n">
        <x:v>239250</x:v>
      </x:c>
      <x:c r="G5" s="137" t="str">
        <x:v>Retrieved</x:v>
      </x:c>
    </x:row>
    <x:row r="6" ht="30" customHeight="1">
      <x:c r="B6" s="138" t="str">
        <x:v>Continued claims</x:v>
      </x:c>
      <x:c r="C6" s="137" t="str">
        <x:v>2026-09-05</x:v>
      </x:c>
      <x:c r="D6" s="146" t="n">
        <x:v>1730000</x:v>
      </x:c>
      <x:c r="E6" s="146" t="n">
        <x:v>1769000</x:v>
      </x:c>
      <x:c r="F6" s="146" t="n">
        <x:v>1925000</x:v>
      </x:c>
      <x:c r="G6" s="137" t="str">
        <x:v>Retrieved</x:v>
      </x:c>
    </x:row>
    <x:row r="9">
      <x:c r="B9" t="str">
        <x:v>Seasonally adjusted. Continued claims generally refer to an earlier week than initial claims.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30" t="str">
        <x:v>Markets — retrieved 2026-09-23</x:v>
      </x:c>
    </x:row>
    <x:row r="3" ht="32" customHeight="1">
      <x:c r="B3" s="135" t="str">
        <x:v>Index</x:v>
      </x:c>
      <x:c r="C3" s="135" t="str">
        <x:v>Close date</x:v>
      </x:c>
      <x:c r="D3" s="135" t="str">
        <x:v>Level</x:v>
      </x:c>
      <x:c r="E3" s="135" t="str">
        <x:v>1m price (%)</x:v>
      </x:c>
      <x:c r="F3" s="135" t="str">
        <x:v>YTD price (%)</x:v>
      </x:c>
      <x:c r="G3" s="135" t="str">
        <x:v>1y price (%)</x:v>
      </x:c>
      <x:c r="H3" s="135" t="str">
        <x:v>Status</x:v>
      </x:c>
    </x:row>
    <x:row r="4" ht="30" customHeight="1">
      <x:c r="B4" s="138" t="str">
        <x:v>S&amp;P 500</x:v>
      </x:c>
      <x:c r="C4" s="137" t="str">
        <x:v>2026-09-22</x:v>
      </x:c>
      <x:c r="D4" s="137" t="n">
        <x:v>7764.64</x:v>
      </x:c>
      <x:c r="E4" s="137" t="n">
        <x:v>1.1762529041471792</x:v>
      </x:c>
      <x:c r="F4" s="137" t="n">
        <x:v>13.426922795997376</x:v>
      </x:c>
      <x:c r="G4" s="137" t="n">
        <x:v>15.998356676003734</x:v>
      </x:c>
      <x:c r="H4" s="137" t="str">
        <x:v>Retrieved</x:v>
      </x:c>
    </x:row>
    <x:row r="5" ht="30" customHeight="1">
      <x:c r="B5" s="138" t="str">
        <x:v>Dow Jones Industrial Average</x:v>
      </x:c>
      <x:c r="C5" s="137" t="str">
        <x:v>2026-09-22</x:v>
      </x:c>
      <x:c r="D5" s="137" t="n">
        <x:v>51863.69</x:v>
      </x:c>
      <x:c r="E5" s="137" t="n">
        <x:v>-2.652776497780185</x:v>
      </x:c>
      <x:c r="F5" s="137" t="n">
        <x:v>7.907074193214814</x:v>
      </x:c>
      <x:c r="G5" s="137" t="n">
        <x:v>11.819680847164626</x:v>
      </x:c>
      <x:c r="H5" s="137" t="str">
        <x:v>Retrieved</x:v>
      </x:c>
    </x:row>
    <x:row r="6" ht="30" customHeight="1">
      <x:c r="B6" s="138" t="str">
        <x:v>NASDAQ Composite</x:v>
      </x:c>
      <x:c r="C6" s="137" t="str">
        <x:v>2026-09-22</x:v>
      </x:c>
      <x:c r="D6" s="137" t="n">
        <x:v>27244.28</x:v>
      </x:c>
      <x:c r="E6" s="137" t="n">
        <x:v>4.063451926914929</x:v>
      </x:c>
      <x:c r="F6" s="137" t="n">
        <x:v>17.22008313401735</x:v>
      </x:c>
      <x:c r="G6" s="137" t="n">
        <x:v>19.550238755749483</x:v>
      </x:c>
      <x:c r="H6" s="137" t="str">
        <x:v>Retrieved</x:v>
      </x:c>
    </x:row>
    <x:row r="9">
      <x:c r="B9" t="str">
        <x:v>FRED daily closing indexes, NSA. Returns exclude dividends. Calendar lookbacks use the preceding available close within seven days.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30" t="str">
        <x:v>Federal Budget — retrieved 2026-09-23</x:v>
      </x:c>
    </x:row>
    <x:row r="3" ht="32" customHeight="1">
      <x:c r="B3" s="135" t="str">
        <x:v>Measure</x:v>
      </x:c>
      <x:c r="C3" s="135" t="str">
        <x:v>Period ending</x:v>
      </x:c>
      <x:c r="D3" s="135" t="str">
        <x:v>Deficit</x:v>
      </x:c>
      <x:c r="E3" s="135" t="str">
        <x:v>Units</x:v>
      </x:c>
      <x:c r="F3" s="135" t="str">
        <x:v>Status</x:v>
      </x:c>
    </x:row>
    <x:row r="4" ht="30" customHeight="1">
      <x:c r="B4" s="138" t="str">
        <x:v>Monthly deficit</x:v>
      </x:c>
      <x:c r="C4" s="137" t="str">
        <x:v>2026-08-01</x:v>
      </x:c>
      <x:c r="D4" s="137" t="n">
        <x:v>166.79695227738003</x:v>
      </x:c>
      <x:c r="E4" s="137" t="str">
        <x:v>USD billions</x:v>
      </x:c>
      <x:c r="F4" s="137" t="str">
        <x:v>Retrieved</x:v>
      </x:c>
    </x:row>
    <x:row r="5" ht="30" customHeight="1">
      <x:c r="B5" s="138" t="str">
        <x:v>Fiscal year to date deficit</x:v>
      </x:c>
      <x:c r="C5" s="137" t="str">
        <x:v>2026-08-01</x:v>
      </x:c>
      <x:c r="D5" s="137" t="n">
        <x:v>1965.62782045344</x:v>
      </x:c>
      <x:c r="E5" s="137" t="str">
        <x:v>USD billions</x:v>
      </x:c>
      <x:c r="F5" s="137" t="str">
        <x:v>Retrieved</x:v>
      </x:c>
    </x:row>
    <x:row r="6" ht="30" customHeight="1">
      <x:c r="B6" s="138" t="str">
        <x:v>Trailing 12 months deficit</x:v>
      </x:c>
      <x:c r="C6" s="137" t="str">
        <x:v>2026-08-01</x:v>
      </x:c>
      <x:c r="D6" s="137" t="n">
        <x:v>1767.6781900912802</x:v>
      </x:c>
      <x:c r="E6" s="137" t="str">
        <x:v>USD billions</x:v>
      </x:c>
      <x:c r="F6" s="137" t="str">
        <x:v>Retrieved</x:v>
      </x:c>
    </x:row>
    <x:row r="7" ht="30" customHeight="1">
      <x:c r="B7" s="138" t="str">
        <x:v>Fiscal year deficit / GDP</x:v>
      </x:c>
      <x:c r="C7" s="137" t="str">
        <x:v>FY 2025</x:v>
      </x:c>
      <x:c r="D7" s="137" t="n">
        <x:v>5.76906</x:v>
      </x:c>
      <x:c r="E7" s="137" t="str">
        <x:v>% of GDP</x:v>
      </x:c>
      <x:c r="F7" s="137" t="str">
        <x:v>Retrieved</x:v>
      </x:c>
    </x:row>
    <x:row r="10">
      <x:c r="B10" t="str">
        <x:v>NSA Treasury measures. Positive deficit means spending exceeds receipts; negative means surplus. No seasonal adjustment applied.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30" t="str">
        <x:v>Other Indicators — retrieved 2026-09-23</x:v>
      </x:c>
    </x:row>
    <x:row r="3" ht="32" customHeight="1">
      <x:c r="B3" s="135" t="str">
        <x:v>Measure</x:v>
      </x:c>
      <x:c r="C3" s="135" t="str">
        <x:v>Period</x:v>
      </x:c>
      <x:c r="D3" s="135" t="str">
        <x:v>Value</x:v>
      </x:c>
      <x:c r="E3" s="135" t="str">
        <x:v>Units</x:v>
      </x:c>
      <x:c r="F3" s="135" t="str">
        <x:v>Status</x:v>
      </x:c>
    </x:row>
    <x:row r="4" ht="30" customHeight="1">
      <x:c r="B4" s="138" t="str">
        <x:v>Job openings</x:v>
      </x:c>
      <x:c r="C4" s="137" t="str">
        <x:v>2026-07-01</x:v>
      </x:c>
      <x:c r="D4" s="137" t="n">
        <x:v>7271</x:v>
      </x:c>
      <x:c r="E4" s="137" t="str">
        <x:v>Thousands</x:v>
      </x:c>
      <x:c r="F4" s="137" t="str">
        <x:v>Retrieved</x:v>
      </x:c>
    </x:row>
    <x:row r="5" ht="30" customHeight="1">
      <x:c r="B5" s="138" t="str">
        <x:v>Quits rate</x:v>
      </x:c>
      <x:c r="C5" s="137" t="str">
        <x:v>2026-07-01</x:v>
      </x:c>
      <x:c r="D5" s="137" t="n">
        <x:v>1.9</x:v>
      </x:c>
      <x:c r="E5" s="137" t="str">
        <x:v>Percent</x:v>
      </x:c>
      <x:c r="F5" s="137" t="str">
        <x:v>Retrieved</x:v>
      </x:c>
    </x:row>
    <x:row r="6" ht="30" customHeight="1">
      <x:c r="B6" s="138" t="str">
        <x:v>U-6 underemployment</x:v>
      </x:c>
      <x:c r="C6" s="137" t="str">
        <x:v>2026-08-01</x:v>
      </x:c>
      <x:c r="D6" s="137" t="n">
        <x:v>7.7</x:v>
      </x:c>
      <x:c r="E6" s="137" t="str">
        <x:v>Percent</x:v>
      </x:c>
      <x:c r="F6" s="137" t="str">
        <x:v>Retrieved</x:v>
      </x:c>
    </x:row>
    <x:row r="9">
      <x:c r="B9" t="str">
        <x:v>Additional labor context. Levels and rates retain published units and seasonal adjustment.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4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65" hidden="0" customWidth="1"/>
    <x:col min="10" max="10" width="60" hidden="0" customWidth="1"/>
  </x:cols>
  <x:sheetData>
    <x:row r="1">
      <x:c r="A1" s="130" t="str">
        <x:v>Refresh Log — retrieved 2026-09-23</x:v>
      </x:c>
    </x:row>
    <x:row r="3" ht="35" customHeight="1">
      <x:c r="B3" s="135" t="str">
        <x:v>Sheet</x:v>
      </x:c>
      <x:c r="C3" s="135" t="str">
        <x:v>Metric</x:v>
      </x:c>
      <x:c r="D3" s="135" t="str">
        <x:v>Series</x:v>
      </x:c>
      <x:c r="E3" s="135" t="str">
        <x:v>Last observation</x:v>
      </x:c>
      <x:c r="F3" s="135" t="str">
        <x:v>Status</x:v>
      </x:c>
      <x:c r="G3" s="135" t="str">
        <x:v>Adjustment</x:v>
      </x:c>
      <x:c r="H3" s="135" t="str">
        <x:v>Source units</x:v>
      </x:c>
      <x:c r="I3" s="135" t="str">
        <x:v>Notes</x:v>
      </x:c>
      <x:c r="J3" s="135" t="str">
        <x:v>Source</x:v>
      </x:c>
    </x:row>
    <x:row r="4" ht="44" customHeight="1">
      <x:c r="B4" s="138" t="str">
        <x:v>CPI</x:v>
      </x:c>
      <x:c r="C4" s="162" t="str">
        <x:v>Headline</x:v>
      </x:c>
      <x:c r="D4" s="162" t="str">
        <x:v>CPIAUCSL</x:v>
      </x:c>
      <x:c r="E4" s="162" t="str">
        <x:v>2026-08-01</x:v>
      </x:c>
      <x:c r="F4" s="162" t="str">
        <x:v>Retrieved</x:v>
      </x:c>
      <x:c r="G4" s="162" t="str">
        <x:v>SA</x:v>
      </x:c>
      <x:c r="H4" s="162" t="str">
        <x:v>Index 1982-1984=100</x:v>
      </x:c>
      <x:c r="I4" s="162" t="str">
        <x:v>Growth from SA levels; percentages in points. Historical columns are Dec/Dec.</x:v>
      </x:c>
      <x:c r="J4" s="162" t="str">
        <x:v>https://fred.stlouisfed.org/series/CPIAUCSL</x:v>
      </x:c>
    </x:row>
    <x:row r="5" ht="44" customHeight="1">
      <x:c r="B5" s="138" t="str">
        <x:v>CPI</x:v>
      </x:c>
      <x:c r="C5" s="162" t="str">
        <x:v>Core</x:v>
      </x:c>
      <x:c r="D5" s="162" t="str">
        <x:v>CPILFESL</x:v>
      </x:c>
      <x:c r="E5" s="162" t="str">
        <x:v>2026-08-01</x:v>
      </x:c>
      <x:c r="F5" s="162" t="str">
        <x:v>Retrieved</x:v>
      </x:c>
      <x:c r="G5" s="162" t="str">
        <x:v>SA</x:v>
      </x:c>
      <x:c r="H5" s="162" t="str">
        <x:v>Index 1982-1984=100</x:v>
      </x:c>
      <x:c r="I5" s="162" t="str">
        <x:v>Growth from SA levels; percentages in points. Historical columns are Dec/Dec.</x:v>
      </x:c>
      <x:c r="J5" s="162" t="str">
        <x:v>https://fred.stlouisfed.org/series/CPILFESL</x:v>
      </x:c>
    </x:row>
    <x:row r="6" ht="44" customHeight="1">
      <x:c r="B6" s="138" t="str">
        <x:v>CPI</x:v>
      </x:c>
      <x:c r="C6" s="162" t="str">
        <x:v>Core Goods</x:v>
      </x:c>
      <x:c r="D6" s="162" t="str">
        <x:v>CUSR0000SACL1E</x:v>
      </x:c>
      <x:c r="E6" s="162" t="str">
        <x:v>2026-08-01</x:v>
      </x:c>
      <x:c r="F6" s="162" t="str">
        <x:v>Retrieved</x:v>
      </x:c>
      <x:c r="G6" s="162" t="str">
        <x:v>SA</x:v>
      </x:c>
      <x:c r="H6" s="162" t="str">
        <x:v>Index 1982-1984=100</x:v>
      </x:c>
      <x:c r="I6" s="162" t="str">
        <x:v>Growth from SA levels; percentages in points. Historical columns are Dec/Dec.</x:v>
      </x:c>
      <x:c r="J6" s="162" t="str">
        <x:v>https://fred.stlouisfed.org/series/CUSR0000SACL1E</x:v>
      </x:c>
    </x:row>
    <x:row r="7" ht="44" customHeight="1">
      <x:c r="B7" s="138" t="str">
        <x:v>CPI</x:v>
      </x:c>
      <x:c r="C7" s="162" t="str">
        <x:v>Core Services</x:v>
      </x:c>
      <x:c r="D7" s="162" t="str">
        <x:v>CUSR0000SASLE</x:v>
      </x:c>
      <x:c r="E7" s="162" t="str">
        <x:v>2026-08-01</x:v>
      </x:c>
      <x:c r="F7" s="162" t="str">
        <x:v>Retrieved</x:v>
      </x:c>
      <x:c r="G7" s="162" t="str">
        <x:v>SA</x:v>
      </x:c>
      <x:c r="H7" s="162" t="str">
        <x:v>Index 1982-1984=100</x:v>
      </x:c>
      <x:c r="I7" s="162" t="str">
        <x:v>Growth from SA levels; percentages in points. Historical columns are Dec/Dec.</x:v>
      </x:c>
      <x:c r="J7" s="162" t="str">
        <x:v>https://fred.stlouisfed.org/series/CUSR0000SASLE</x:v>
      </x:c>
    </x:row>
    <x:row r="8" ht="44" customHeight="1">
      <x:c r="B8" s="138" t="str">
        <x:v>CPI</x:v>
      </x:c>
      <x:c r="C8" s="162" t="str">
        <x:v>Shelter</x:v>
      </x:c>
      <x:c r="D8" s="162" t="str">
        <x:v>CUSR0000SAH1</x:v>
      </x:c>
      <x:c r="E8" s="162" t="str">
        <x:v>2026-08-01</x:v>
      </x:c>
      <x:c r="F8" s="162" t="str">
        <x:v>Retrieved</x:v>
      </x:c>
      <x:c r="G8" s="162" t="str">
        <x:v>SA</x:v>
      </x:c>
      <x:c r="H8" s="162" t="str">
        <x:v>Index 1982-1984=100</x:v>
      </x:c>
      <x:c r="I8" s="162" t="str">
        <x:v>Growth from SA levels; percentages in points. Historical columns are Dec/Dec.</x:v>
      </x:c>
      <x:c r="J8" s="162" t="str">
        <x:v>https://fred.stlouisfed.org/series/CUSR0000SAH1</x:v>
      </x:c>
    </x:row>
    <x:row r="9" ht="44" customHeight="1">
      <x:c r="B9" s="138" t="str">
        <x:v>CPI</x:v>
      </x:c>
      <x:c r="C9" s="162" t="str">
        <x:v>Food</x:v>
      </x:c>
      <x:c r="D9" s="162" t="str">
        <x:v>CPIUFDSL</x:v>
      </x:c>
      <x:c r="E9" s="162" t="str">
        <x:v>2026-08-01</x:v>
      </x:c>
      <x:c r="F9" s="162" t="str">
        <x:v>Retrieved</x:v>
      </x:c>
      <x:c r="G9" s="162" t="str">
        <x:v>SA</x:v>
      </x:c>
      <x:c r="H9" s="162" t="str">
        <x:v>Index 1982-1984=100</x:v>
      </x:c>
      <x:c r="I9" s="162" t="str">
        <x:v>Growth from SA levels; percentages in points. Historical columns are Dec/Dec.</x:v>
      </x:c>
      <x:c r="J9" s="162" t="str">
        <x:v>https://fred.stlouisfed.org/series/CPIUFDSL</x:v>
      </x:c>
    </x:row>
    <x:row r="10" ht="44" customHeight="1">
      <x:c r="B10" s="138" t="str">
        <x:v>CPI</x:v>
      </x:c>
      <x:c r="C10" s="162" t="str">
        <x:v>Energy</x:v>
      </x:c>
      <x:c r="D10" s="162" t="str">
        <x:v>CPIENGSL</x:v>
      </x:c>
      <x:c r="E10" s="162" t="str">
        <x:v>2026-08-01</x:v>
      </x:c>
      <x:c r="F10" s="162" t="str">
        <x:v>Retrieved</x:v>
      </x:c>
      <x:c r="G10" s="162" t="str">
        <x:v>SA</x:v>
      </x:c>
      <x:c r="H10" s="162" t="str">
        <x:v>Index 1982-1984=100</x:v>
      </x:c>
      <x:c r="I10" s="162" t="str">
        <x:v>Growth from SA levels; percentages in points. Historical columns are Dec/Dec.</x:v>
      </x:c>
      <x:c r="J10" s="162" t="str">
        <x:v>https://fred.stlouisfed.org/series/CPIENGSL</x:v>
      </x:c>
    </x:row>
    <x:row r="11" ht="44" customHeight="1">
      <x:c r="B11" s="138" t="str">
        <x:v>PCE</x:v>
      </x:c>
      <x:c r="C11" s="162" t="str">
        <x:v>Headline</x:v>
      </x:c>
      <x:c r="D11" s="162" t="str">
        <x:v>PCEPI</x:v>
      </x:c>
      <x:c r="E11" s="162" t="str">
        <x:v>2026-07-01</x:v>
      </x:c>
      <x:c r="F11" s="162" t="str">
        <x:v>Retrieved</x:v>
      </x:c>
      <x:c r="G11" s="162" t="str">
        <x:v>SA</x:v>
      </x:c>
      <x:c r="H11" s="162" t="str">
        <x:v>Index 2017=100</x:v>
      </x:c>
      <x:c r="I11" s="162" t="str">
        <x:v>Growth from SA levels; percentages in points. Historical columns are Dec/Dec.</x:v>
      </x:c>
      <x:c r="J11" s="162" t="str">
        <x:v>https://fred.stlouisfed.org/series/PCEPI</x:v>
      </x:c>
    </x:row>
    <x:row r="12" ht="44" customHeight="1">
      <x:c r="B12" s="138" t="str">
        <x:v>PCE</x:v>
      </x:c>
      <x:c r="C12" s="162" t="str">
        <x:v>Core</x:v>
      </x:c>
      <x:c r="D12" s="162" t="str">
        <x:v>PCEPILFE</x:v>
      </x:c>
      <x:c r="E12" s="162" t="str">
        <x:v>2026-07-01</x:v>
      </x:c>
      <x:c r="F12" s="162" t="str">
        <x:v>Retrieved</x:v>
      </x:c>
      <x:c r="G12" s="162" t="str">
        <x:v>SA</x:v>
      </x:c>
      <x:c r="H12" s="162" t="str">
        <x:v>Index 2017=100</x:v>
      </x:c>
      <x:c r="I12" s="162" t="str">
        <x:v>Growth from SA levels; percentages in points. Historical columns are Dec/Dec.</x:v>
      </x:c>
      <x:c r="J12" s="162" t="str">
        <x:v>https://fred.stlouisfed.org/series/PCEPILFE</x:v>
      </x:c>
    </x:row>
    <x:row r="13" ht="44" customHeight="1">
      <x:c r="B13" s="138" t="str">
        <x:v>PCE</x:v>
      </x:c>
      <x:c r="C13" s="162" t="str">
        <x:v>Core Goods</x:v>
      </x:c>
      <x:c r="D13" s="162" t="str"/>
      <x:c r="E13" s="162" t="str">
        <x:v>n.a.</x:v>
      </x:c>
      <x:c r="F13" s="162" t="str">
        <x:v>Manual; not refreshed</x:v>
      </x:c>
      <x:c r="G13" s="162" t="str"/>
      <x:c r="H13" s="162" t="str"/>
      <x:c r="I13" s="162" t="str">
        <x:v>Exact monthly source not configured. Original manual values retained.</x:v>
      </x:c>
      <x:c r="J13" s="162" t="str"/>
    </x:row>
    <x:row r="14" ht="44" customHeight="1">
      <x:c r="B14" s="138" t="str">
        <x:v>PCE</x:v>
      </x:c>
      <x:c r="C14" s="162" t="str">
        <x:v>Core Services</x:v>
      </x:c>
      <x:c r="D14" s="162" t="str"/>
      <x:c r="E14" s="162" t="str">
        <x:v>n.a.</x:v>
      </x:c>
      <x:c r="F14" s="162" t="str">
        <x:v>Manual; not refreshed</x:v>
      </x:c>
      <x:c r="G14" s="162" t="str"/>
      <x:c r="H14" s="162" t="str"/>
      <x:c r="I14" s="162" t="str">
        <x:v>Exact monthly source not configured. Original manual values retained.</x:v>
      </x:c>
      <x:c r="J14" s="162" t="str"/>
    </x:row>
    <x:row r="15" ht="44" customHeight="1">
      <x:c r="B15" s="138" t="str">
        <x:v>PCE</x:v>
      </x:c>
      <x:c r="C15" s="162" t="str">
        <x:v>Housing</x:v>
      </x:c>
      <x:c r="D15" s="162" t="str"/>
      <x:c r="E15" s="162" t="str">
        <x:v>n.a.</x:v>
      </x:c>
      <x:c r="F15" s="162" t="str">
        <x:v>Manual; not refreshed</x:v>
      </x:c>
      <x:c r="G15" s="162" t="str"/>
      <x:c r="H15" s="162" t="str"/>
      <x:c r="I15" s="162" t="str">
        <x:v>Exact monthly source not configured. Original manual values retained.</x:v>
      </x:c>
      <x:c r="J15" s="162" t="str"/>
    </x:row>
    <x:row r="16" ht="44" customHeight="1">
      <x:c r="B16" s="138" t="str">
        <x:v>PCE</x:v>
      </x:c>
      <x:c r="C16" s="162" t="str">
        <x:v>Food</x:v>
      </x:c>
      <x:c r="D16" s="162" t="str">
        <x:v>DFXARG3M086SBEA</x:v>
      </x:c>
      <x:c r="E16" s="162" t="str">
        <x:v>2026-07-01</x:v>
      </x:c>
      <x:c r="F16" s="162" t="str">
        <x:v>Retrieved</x:v>
      </x:c>
      <x:c r="G16" s="162" t="str">
        <x:v>SA</x:v>
      </x:c>
      <x:c r="H16" s="162" t="str">
        <x:v>Index 2017=100</x:v>
      </x:c>
      <x:c r="I16" s="162" t="str">
        <x:v>Growth from SA levels; percentages in points. Historical columns are Dec/Dec.</x:v>
      </x:c>
      <x:c r="J16" s="162" t="str">
        <x:v>https://fred.stlouisfed.org/series/DFXARG3M086SBEA</x:v>
      </x:c>
    </x:row>
    <x:row r="17" ht="44" customHeight="1">
      <x:c r="B17" s="138" t="str">
        <x:v>PCE</x:v>
      </x:c>
      <x:c r="C17" s="162" t="str">
        <x:v>Energy</x:v>
      </x:c>
      <x:c r="D17" s="162" t="str">
        <x:v>DNRGRG3M086SBEA</x:v>
      </x:c>
      <x:c r="E17" s="162" t="str">
        <x:v>2026-07-01</x:v>
      </x:c>
      <x:c r="F17" s="162" t="str">
        <x:v>Retrieved</x:v>
      </x:c>
      <x:c r="G17" s="162" t="str">
        <x:v>SA</x:v>
      </x:c>
      <x:c r="H17" s="162" t="str">
        <x:v>Index 2017=100</x:v>
      </x:c>
      <x:c r="I17" s="162" t="str">
        <x:v>Growth from SA levels; percentages in points. Historical columns are Dec/Dec.</x:v>
      </x:c>
      <x:c r="J17" s="162" t="str">
        <x:v>https://fred.stlouisfed.org/series/DNRGRG3M086SBEA</x:v>
      </x:c>
    </x:row>
    <x:row r="18" ht="44" customHeight="1">
      <x:c r="B18" s="138" t="str">
        <x:v>Employment </x:v>
      </x:c>
      <x:c r="C18" s="162" t="str">
        <x:v>Overall</x:v>
      </x:c>
      <x:c r="D18" s="162" t="str">
        <x:v>PAYEMS</x:v>
      </x:c>
      <x:c r="E18" s="162" t="str">
        <x:v>2026-08-01</x:v>
      </x:c>
      <x:c r="F18" s="162" t="str">
        <x:v>Retrieved</x:v>
      </x:c>
      <x:c r="G18" s="162" t="str">
        <x:v>SA</x:v>
      </x:c>
      <x:c r="H18" s="162" t="str">
        <x:v>Thousands of persons</x:v>
      </x:c>
      <x:c r="I18" s="162" t="str">
        <x:v>Monthly change in persons; published levels in thousands.</x:v>
      </x:c>
      <x:c r="J18" s="162" t="str">
        <x:v>https://fred.stlouisfed.org/series/PAYEMS</x:v>
      </x:c>
    </x:row>
    <x:row r="19" ht="44" customHeight="1">
      <x:c r="B19" s="138" t="str">
        <x:v>Employment </x:v>
      </x:c>
      <x:c r="C19" s="162" t="str">
        <x:v>Manufacturing</x:v>
      </x:c>
      <x:c r="D19" s="162" t="str">
        <x:v>MANEMP</x:v>
      </x:c>
      <x:c r="E19" s="162" t="str">
        <x:v>2026-08-01</x:v>
      </x:c>
      <x:c r="F19" s="162" t="str">
        <x:v>Retrieved</x:v>
      </x:c>
      <x:c r="G19" s="162" t="str">
        <x:v>SA</x:v>
      </x:c>
      <x:c r="H19" s="162" t="str">
        <x:v>Thousands of persons</x:v>
      </x:c>
      <x:c r="I19" s="162" t="str">
        <x:v>Monthly change in persons; published levels in thousands.</x:v>
      </x:c>
      <x:c r="J19" s="162" t="str">
        <x:v>https://fred.stlouisfed.org/series/MANEMP</x:v>
      </x:c>
    </x:row>
    <x:row r="20" ht="44" customHeight="1">
      <x:c r="B20" s="138" t="str">
        <x:v>Employment </x:v>
      </x:c>
      <x:c r="C20" s="162" t="str">
        <x:v>Mining and logging</x:v>
      </x:c>
      <x:c r="D20" s="162" t="str">
        <x:v>USMINE</x:v>
      </x:c>
      <x:c r="E20" s="162" t="str">
        <x:v>2026-08-01</x:v>
      </x:c>
      <x:c r="F20" s="162" t="str">
        <x:v>Retrieved</x:v>
      </x:c>
      <x:c r="G20" s="162" t="str">
        <x:v>SA</x:v>
      </x:c>
      <x:c r="H20" s="162" t="str">
        <x:v>Thousands of persons</x:v>
      </x:c>
      <x:c r="I20" s="162" t="str">
        <x:v>Monthly change in persons; published levels in thousands.</x:v>
      </x:c>
      <x:c r="J20" s="162" t="str">
        <x:v>https://fred.stlouisfed.org/series/USMINE</x:v>
      </x:c>
    </x:row>
    <x:row r="21" ht="44" customHeight="1">
      <x:c r="B21" s="138" t="str">
        <x:v>Employment </x:v>
      </x:c>
      <x:c r="C21" s="162" t="str">
        <x:v>Construction</x:v>
      </x:c>
      <x:c r="D21" s="162" t="str">
        <x:v>USCONS</x:v>
      </x:c>
      <x:c r="E21" s="162" t="str">
        <x:v>2026-08-01</x:v>
      </x:c>
      <x:c r="F21" s="162" t="str">
        <x:v>Retrieved</x:v>
      </x:c>
      <x:c r="G21" s="162" t="str">
        <x:v>SA</x:v>
      </x:c>
      <x:c r="H21" s="162" t="str">
        <x:v>Thousands of persons</x:v>
      </x:c>
      <x:c r="I21" s="162" t="str">
        <x:v>Monthly change in persons; published levels in thousands.</x:v>
      </x:c>
      <x:c r="J21" s="162" t="str">
        <x:v>https://fred.stlouisfed.org/series/USCONS</x:v>
      </x:c>
    </x:row>
    <x:row r="22" ht="44" customHeight="1">
      <x:c r="B22" s="138" t="str">
        <x:v>Employment </x:v>
      </x:c>
      <x:c r="C22" s="162" t="str">
        <x:v>Trade, transportation and utilities</x:v>
      </x:c>
      <x:c r="D22" s="162" t="str">
        <x:v>USTPU</x:v>
      </x:c>
      <x:c r="E22" s="162" t="str">
        <x:v>2026-08-01</x:v>
      </x:c>
      <x:c r="F22" s="162" t="str">
        <x:v>Retrieved</x:v>
      </x:c>
      <x:c r="G22" s="162" t="str">
        <x:v>SA</x:v>
      </x:c>
      <x:c r="H22" s="162" t="str">
        <x:v>Thousands of persons</x:v>
      </x:c>
      <x:c r="I22" s="162" t="str">
        <x:v>Monthly change in persons; published levels in thousands.</x:v>
      </x:c>
      <x:c r="J22" s="162" t="str">
        <x:v>https://fred.stlouisfed.org/series/USTPU</x:v>
      </x:c>
    </x:row>
    <x:row r="23" ht="44" customHeight="1">
      <x:c r="B23" s="138" t="str">
        <x:v>Employment </x:v>
      </x:c>
      <x:c r="C23" s="162" t="str">
        <x:v>Information</x:v>
      </x:c>
      <x:c r="D23" s="162" t="str">
        <x:v>USINFO</x:v>
      </x:c>
      <x:c r="E23" s="162" t="str">
        <x:v>2026-08-01</x:v>
      </x:c>
      <x:c r="F23" s="162" t="str">
        <x:v>Retrieved</x:v>
      </x:c>
      <x:c r="G23" s="162" t="str">
        <x:v>SA</x:v>
      </x:c>
      <x:c r="H23" s="162" t="str">
        <x:v>Thousands of persons</x:v>
      </x:c>
      <x:c r="I23" s="162" t="str">
        <x:v>Monthly change in persons; published levels in thousands.</x:v>
      </x:c>
      <x:c r="J23" s="162" t="str">
        <x:v>https://fred.stlouisfed.org/series/USINFO</x:v>
      </x:c>
    </x:row>
    <x:row r="24" ht="44" customHeight="1">
      <x:c r="B24" s="138" t="str">
        <x:v>Employment </x:v>
      </x:c>
      <x:c r="C24" s="162" t="str">
        <x:v>Financial activities</x:v>
      </x:c>
      <x:c r="D24" s="162" t="str">
        <x:v>USFIRE</x:v>
      </x:c>
      <x:c r="E24" s="162" t="str">
        <x:v>2026-08-01</x:v>
      </x:c>
      <x:c r="F24" s="162" t="str">
        <x:v>Retrieved</x:v>
      </x:c>
      <x:c r="G24" s="162" t="str">
        <x:v>SA</x:v>
      </x:c>
      <x:c r="H24" s="162" t="str">
        <x:v>Thousands of persons</x:v>
      </x:c>
      <x:c r="I24" s="162" t="str">
        <x:v>Monthly change in persons; published levels in thousands.</x:v>
      </x:c>
      <x:c r="J24" s="162" t="str">
        <x:v>https://fred.stlouisfed.org/series/USFIRE</x:v>
      </x:c>
    </x:row>
    <x:row r="25" ht="44" customHeight="1">
      <x:c r="B25" s="138" t="str">
        <x:v>Employment </x:v>
      </x:c>
      <x:c r="C25" s="162" t="str">
        <x:v>Professional and business services</x:v>
      </x:c>
      <x:c r="D25" s="162" t="str">
        <x:v>USPBS</x:v>
      </x:c>
      <x:c r="E25" s="162" t="str">
        <x:v>2026-08-01</x:v>
      </x:c>
      <x:c r="F25" s="162" t="str">
        <x:v>Retrieved</x:v>
      </x:c>
      <x:c r="G25" s="162" t="str">
        <x:v>SA</x:v>
      </x:c>
      <x:c r="H25" s="162" t="str">
        <x:v>Thousands of persons</x:v>
      </x:c>
      <x:c r="I25" s="162" t="str">
        <x:v>Monthly change in persons; published levels in thousands.</x:v>
      </x:c>
      <x:c r="J25" s="162" t="str">
        <x:v>https://fred.stlouisfed.org/series/USPBS</x:v>
      </x:c>
    </x:row>
    <x:row r="26" ht="44" customHeight="1">
      <x:c r="B26" s="138" t="str">
        <x:v>Employment </x:v>
      </x:c>
      <x:c r="C26" s="162" t="str">
        <x:v>Private education and health services</x:v>
      </x:c>
      <x:c r="D26" s="162" t="str">
        <x:v>USEHS</x:v>
      </x:c>
      <x:c r="E26" s="162" t="str">
        <x:v>2026-08-01</x:v>
      </x:c>
      <x:c r="F26" s="162" t="str">
        <x:v>Retrieved</x:v>
      </x:c>
      <x:c r="G26" s="162" t="str">
        <x:v>SA</x:v>
      </x:c>
      <x:c r="H26" s="162" t="str">
        <x:v>Thousands of persons</x:v>
      </x:c>
      <x:c r="I26" s="162" t="str">
        <x:v>Monthly change in persons; published levels in thousands.</x:v>
      </x:c>
      <x:c r="J26" s="162" t="str">
        <x:v>https://fred.stlouisfed.org/series/USEHS</x:v>
      </x:c>
    </x:row>
    <x:row r="27" ht="44" customHeight="1">
      <x:c r="B27" s="138" t="str">
        <x:v>Employment </x:v>
      </x:c>
      <x:c r="C27" s="162" t="str">
        <x:v>Leisure and hospitality</x:v>
      </x:c>
      <x:c r="D27" s="162" t="str">
        <x:v>USLAH</x:v>
      </x:c>
      <x:c r="E27" s="162" t="str">
        <x:v>2026-08-01</x:v>
      </x:c>
      <x:c r="F27" s="162" t="str">
        <x:v>Retrieved</x:v>
      </x:c>
      <x:c r="G27" s="162" t="str">
        <x:v>SA</x:v>
      </x:c>
      <x:c r="H27" s="162" t="str">
        <x:v>Thousands of persons</x:v>
      </x:c>
      <x:c r="I27" s="162" t="str">
        <x:v>Monthly change in persons; published levels in thousands.</x:v>
      </x:c>
      <x:c r="J27" s="162" t="str">
        <x:v>https://fred.stlouisfed.org/series/USLAH</x:v>
      </x:c>
    </x:row>
    <x:row r="28" ht="44" customHeight="1">
      <x:c r="B28" s="138" t="str">
        <x:v>Employment </x:v>
      </x:c>
      <x:c r="C28" s="162" t="str">
        <x:v>Other services</x:v>
      </x:c>
      <x:c r="D28" s="162" t="str">
        <x:v>USSERV</x:v>
      </x:c>
      <x:c r="E28" s="162" t="str">
        <x:v>2026-08-01</x:v>
      </x:c>
      <x:c r="F28" s="162" t="str">
        <x:v>Retrieved</x:v>
      </x:c>
      <x:c r="G28" s="162" t="str">
        <x:v>SA</x:v>
      </x:c>
      <x:c r="H28" s="162" t="str">
        <x:v>Thousands of persons</x:v>
      </x:c>
      <x:c r="I28" s="162" t="str">
        <x:v>Monthly change in persons; published levels in thousands.</x:v>
      </x:c>
      <x:c r="J28" s="162" t="str">
        <x:v>https://fred.stlouisfed.org/series/USSERV</x:v>
      </x:c>
    </x:row>
    <x:row r="29" ht="44" customHeight="1">
      <x:c r="B29" s="138" t="str">
        <x:v>Employment </x:v>
      </x:c>
      <x:c r="C29" s="162" t="str">
        <x:v>Government</x:v>
      </x:c>
      <x:c r="D29" s="162" t="str">
        <x:v>USGOVT</x:v>
      </x:c>
      <x:c r="E29" s="162" t="str">
        <x:v>2026-08-01</x:v>
      </x:c>
      <x:c r="F29" s="162" t="str">
        <x:v>Retrieved</x:v>
      </x:c>
      <x:c r="G29" s="162" t="str">
        <x:v>SA</x:v>
      </x:c>
      <x:c r="H29" s="162" t="str">
        <x:v>Thousands of persons</x:v>
      </x:c>
      <x:c r="I29" s="162" t="str">
        <x:v>Monthly change in persons; published levels in thousands.</x:v>
      </x:c>
      <x:c r="J29" s="162" t="str">
        <x:v>https://fred.stlouisfed.org/series/USGOVT</x:v>
      </x:c>
    </x:row>
    <x:row r="30" ht="44" customHeight="1">
      <x:c r="B30" s="138" t="str">
        <x:v>Employment </x:v>
      </x:c>
      <x:c r="C30" s="162" t="str">
        <x:v>Health care (subset)</x:v>
      </x:c>
      <x:c r="D30" s="162" t="str">
        <x:v>CES6562000101</x:v>
      </x:c>
      <x:c r="E30" s="162" t="str">
        <x:v>2026-08-01</x:v>
      </x:c>
      <x:c r="F30" s="162" t="str">
        <x:v>Retrieved</x:v>
      </x:c>
      <x:c r="G30" s="162" t="str">
        <x:v>SA</x:v>
      </x:c>
      <x:c r="H30" s="162" t="str">
        <x:v>Thousands of persons</x:v>
      </x:c>
      <x:c r="I30" s="162" t="str">
        <x:v>Subset of USEHS; do not add to parent.</x:v>
      </x:c>
      <x:c r="J30" s="162" t="str">
        <x:v>https://fred.stlouisfed.org/series/CES6562000101</x:v>
      </x:c>
    </x:row>
    <x:row r="31" ht="44" customHeight="1">
      <x:c r="B31" s="138" t="str">
        <x:v>Employment </x:v>
      </x:c>
      <x:c r="C31" s="162" t="str">
        <x:v>Retail Trade (subset)</x:v>
      </x:c>
      <x:c r="D31" s="162" t="str">
        <x:v>USTRADE</x:v>
      </x:c>
      <x:c r="E31" s="162" t="str">
        <x:v>2026-08-01</x:v>
      </x:c>
      <x:c r="F31" s="162" t="str">
        <x:v>Retrieved</x:v>
      </x:c>
      <x:c r="G31" s="162" t="str">
        <x:v>SA</x:v>
      </x:c>
      <x:c r="H31" s="162" t="str">
        <x:v>Thousands of persons</x:v>
      </x:c>
      <x:c r="I31" s="162" t="str">
        <x:v>Subset of USTPU; do not add to parent.</x:v>
      </x:c>
      <x:c r="J31" s="162" t="str">
        <x:v>https://fred.stlouisfed.org/series/USTRADE</x:v>
      </x:c>
    </x:row>
    <x:row r="32" ht="44" customHeight="1">
      <x:c r="B32" s="138" t="str">
        <x:v>Employment </x:v>
      </x:c>
      <x:c r="C32" s="162" t="str">
        <x:v>Wholesale Trade (subset)</x:v>
      </x:c>
      <x:c r="D32" s="162" t="str">
        <x:v>USWTRADE</x:v>
      </x:c>
      <x:c r="E32" s="162" t="str">
        <x:v>2026-08-01</x:v>
      </x:c>
      <x:c r="F32" s="162" t="str">
        <x:v>Retrieved</x:v>
      </x:c>
      <x:c r="G32" s="162" t="str">
        <x:v>SA</x:v>
      </x:c>
      <x:c r="H32" s="162" t="str">
        <x:v>Thousands of persons</x:v>
      </x:c>
      <x:c r="I32" s="162" t="str">
        <x:v>Subset of USTPU; do not add to parent.</x:v>
      </x:c>
      <x:c r="J32" s="162" t="str">
        <x:v>https://fred.stlouisfed.org/series/USWTRADE</x:v>
      </x:c>
    </x:row>
    <x:row r="33" ht="44" customHeight="1">
      <x:c r="B33" s="138" t="str">
        <x:v>Employment </x:v>
      </x:c>
      <x:c r="C33" s="162" t="str">
        <x:v>Transportation and Warehousing (subset)</x:v>
      </x:c>
      <x:c r="D33" s="162" t="str">
        <x:v>CES4300000001</x:v>
      </x:c>
      <x:c r="E33" s="162" t="str">
        <x:v>2026-08-01</x:v>
      </x:c>
      <x:c r="F33" s="162" t="str">
        <x:v>Retrieved</x:v>
      </x:c>
      <x:c r="G33" s="162" t="str">
        <x:v>SA</x:v>
      </x:c>
      <x:c r="H33" s="162" t="str">
        <x:v>Thousands of persons</x:v>
      </x:c>
      <x:c r="I33" s="162" t="str">
        <x:v>Subset of USTPU; do not add to parent.</x:v>
      </x:c>
      <x:c r="J33" s="162" t="str">
        <x:v>https://fred.stlouisfed.org/series/CES4300000001</x:v>
      </x:c>
    </x:row>
    <x:row r="34" ht="44" customHeight="1">
      <x:c r="B34" s="138" t="str">
        <x:v>Employment </x:v>
      </x:c>
      <x:c r="C34" s="162" t="str">
        <x:v>Utilities (subset)</x:v>
      </x:c>
      <x:c r="D34" s="162" t="str">
        <x:v>CES4422000001</x:v>
      </x:c>
      <x:c r="E34" s="162" t="str">
        <x:v>2026-08-01</x:v>
      </x:c>
      <x:c r="F34" s="162" t="str">
        <x:v>Retrieved</x:v>
      </x:c>
      <x:c r="G34" s="162" t="str">
        <x:v>SA</x:v>
      </x:c>
      <x:c r="H34" s="162" t="str">
        <x:v>Thousands of persons</x:v>
      </x:c>
      <x:c r="I34" s="162" t="str">
        <x:v>Subset of USTPU; do not add to parent.</x:v>
      </x:c>
      <x:c r="J34" s="162" t="str">
        <x:v>https://fred.stlouisfed.org/series/CES4422000001</x:v>
      </x:c>
    </x:row>
    <x:row r="35" ht="44" customHeight="1">
      <x:c r="B35" s="138" t="str">
        <x:v>Unemployment Rates</x:v>
      </x:c>
      <x:c r="C35" s="162" t="str">
        <x:v>Overall (U-3)</x:v>
      </x:c>
      <x:c r="D35" s="162" t="str">
        <x:v>UNRATE</x:v>
      </x:c>
      <x:c r="E35" s="162" t="str">
        <x:v>2026-08-01</x:v>
      </x:c>
      <x:c r="F35" s="162" t="str">
        <x:v>Retrieved</x:v>
      </x:c>
      <x:c r="G35" s="162" t="str">
        <x:v>SA</x:v>
      </x:c>
      <x:c r="H35" s="162" t="str"/>
      <x:c r="I35" s="162" t="str">
        <x:v>SA, ages 16+ unless labeled otherwise. Hispanic ethnicity may be of any race. Groups overlap.</x:v>
      </x:c>
      <x:c r="J35" s="162" t="str">
        <x:v>https://fred.stlouisfed.org/series/UNRATE</x:v>
      </x:c>
    </x:row>
    <x:row r="36" ht="44" customHeight="1">
      <x:c r="B36" s="138" t="str">
        <x:v>Unemployment Rates</x:v>
      </x:c>
      <x:c r="C36" s="162" t="str">
        <x:v>Prime age (25-54)</x:v>
      </x:c>
      <x:c r="D36" s="162" t="str">
        <x:v>LNS14000060</x:v>
      </x:c>
      <x:c r="E36" s="162" t="str">
        <x:v>2026-08-01</x:v>
      </x:c>
      <x:c r="F36" s="162" t="str">
        <x:v>Retrieved</x:v>
      </x:c>
      <x:c r="G36" s="162" t="str">
        <x:v>SA</x:v>
      </x:c>
      <x:c r="H36" s="162" t="str"/>
      <x:c r="I36" s="162" t="str">
        <x:v>SA, ages 16+ unless labeled otherwise. Hispanic ethnicity may be of any race. Groups overlap.</x:v>
      </x:c>
      <x:c r="J36" s="162" t="str">
        <x:v>https://fred.stlouisfed.org/series/LNS14000060</x:v>
      </x:c>
    </x:row>
    <x:row r="37" ht="44" customHeight="1">
      <x:c r="B37" s="138" t="str">
        <x:v>Unemployment Rates</x:v>
      </x:c>
      <x:c r="C37" s="162" t="str">
        <x:v>Men (16+)</x:v>
      </x:c>
      <x:c r="D37" s="162" t="str">
        <x:v>LNS14000001</x:v>
      </x:c>
      <x:c r="E37" s="162" t="str">
        <x:v>2026-08-01</x:v>
      </x:c>
      <x:c r="F37" s="162" t="str">
        <x:v>Retrieved</x:v>
      </x:c>
      <x:c r="G37" s="162" t="str">
        <x:v>SA</x:v>
      </x:c>
      <x:c r="H37" s="162" t="str"/>
      <x:c r="I37" s="162" t="str">
        <x:v>SA, ages 16+ unless labeled otherwise. Hispanic ethnicity may be of any race. Groups overlap.</x:v>
      </x:c>
      <x:c r="J37" s="162" t="str">
        <x:v>https://fred.stlouisfed.org/series/LNS14000001</x:v>
      </x:c>
    </x:row>
    <x:row r="38" ht="44" customHeight="1">
      <x:c r="B38" s="138" t="str">
        <x:v>Unemployment Rates</x:v>
      </x:c>
      <x:c r="C38" s="162" t="str">
        <x:v>Women (16+)</x:v>
      </x:c>
      <x:c r="D38" s="162" t="str">
        <x:v>LNS14000002</x:v>
      </x:c>
      <x:c r="E38" s="162" t="str">
        <x:v>2026-08-01</x:v>
      </x:c>
      <x:c r="F38" s="162" t="str">
        <x:v>Retrieved</x:v>
      </x:c>
      <x:c r="G38" s="162" t="str">
        <x:v>SA</x:v>
      </x:c>
      <x:c r="H38" s="162" t="str"/>
      <x:c r="I38" s="162" t="str">
        <x:v>SA, ages 16+ unless labeled otherwise. Hispanic ethnicity may be of any race. Groups overlap.</x:v>
      </x:c>
      <x:c r="J38" s="162" t="str">
        <x:v>https://fred.stlouisfed.org/series/LNS14000002</x:v>
      </x:c>
    </x:row>
    <x:row r="39" ht="44" customHeight="1">
      <x:c r="B39" s="138" t="str">
        <x:v>Unemployment Rates</x:v>
      </x:c>
      <x:c r="C39" s="162" t="str">
        <x:v>White</x:v>
      </x:c>
      <x:c r="D39" s="162" t="str">
        <x:v>LNS14000003</x:v>
      </x:c>
      <x:c r="E39" s="162" t="str">
        <x:v>2026-08-01</x:v>
      </x:c>
      <x:c r="F39" s="162" t="str">
        <x:v>Retrieved</x:v>
      </x:c>
      <x:c r="G39" s="162" t="str">
        <x:v>SA</x:v>
      </x:c>
      <x:c r="H39" s="162" t="str"/>
      <x:c r="I39" s="162" t="str">
        <x:v>SA, ages 16+ unless labeled otherwise. Hispanic ethnicity may be of any race. Groups overlap.</x:v>
      </x:c>
      <x:c r="J39" s="162" t="str">
        <x:v>https://fred.stlouisfed.org/series/LNS14000003</x:v>
      </x:c>
    </x:row>
    <x:row r="40" ht="44" customHeight="1">
      <x:c r="B40" s="138" t="str">
        <x:v>Unemployment Rates</x:v>
      </x:c>
      <x:c r="C40" s="162" t="str">
        <x:v>Black or African American</x:v>
      </x:c>
      <x:c r="D40" s="162" t="str">
        <x:v>LNS14000006</x:v>
      </x:c>
      <x:c r="E40" s="162" t="str">
        <x:v>2026-08-01</x:v>
      </x:c>
      <x:c r="F40" s="162" t="str">
        <x:v>Retrieved</x:v>
      </x:c>
      <x:c r="G40" s="162" t="str">
        <x:v>SA</x:v>
      </x:c>
      <x:c r="H40" s="162" t="str"/>
      <x:c r="I40" s="162" t="str">
        <x:v>SA, ages 16+ unless labeled otherwise. Hispanic ethnicity may be of any race. Groups overlap.</x:v>
      </x:c>
      <x:c r="J40" s="162" t="str">
        <x:v>https://fred.stlouisfed.org/series/LNS14000006</x:v>
      </x:c>
    </x:row>
    <x:row r="41" ht="44" customHeight="1">
      <x:c r="B41" s="138" t="str">
        <x:v>Unemployment Rates</x:v>
      </x:c>
      <x:c r="C41" s="162" t="str">
        <x:v>Hispanic or Latino</x:v>
      </x:c>
      <x:c r="D41" s="162" t="str">
        <x:v>LNS14000009</x:v>
      </x:c>
      <x:c r="E41" s="162" t="str">
        <x:v>2026-08-01</x:v>
      </x:c>
      <x:c r="F41" s="162" t="str">
        <x:v>Retrieved</x:v>
      </x:c>
      <x:c r="G41" s="162" t="str">
        <x:v>SA</x:v>
      </x:c>
      <x:c r="H41" s="162" t="str"/>
      <x:c r="I41" s="162" t="str">
        <x:v>SA, ages 16+ unless labeled otherwise. Hispanic ethnicity may be of any race. Groups overlap.</x:v>
      </x:c>
      <x:c r="J41" s="162" t="str">
        <x:v>https://fred.stlouisfed.org/series/LNS14000009</x:v>
      </x:c>
    </x:row>
    <x:row r="42" ht="44" customHeight="1">
      <x:c r="B42" s="138" t="str">
        <x:v>Unemployment Rates</x:v>
      </x:c>
      <x:c r="C42" s="162" t="str">
        <x:v>Asian</x:v>
      </x:c>
      <x:c r="D42" s="162" t="str">
        <x:v>LNS14032183</x:v>
      </x:c>
      <x:c r="E42" s="162" t="str">
        <x:v>2026-08-01</x:v>
      </x:c>
      <x:c r="F42" s="162" t="str">
        <x:v>Retrieved</x:v>
      </x:c>
      <x:c r="G42" s="162" t="str">
        <x:v>SA</x:v>
      </x:c>
      <x:c r="H42" s="162" t="str"/>
      <x:c r="I42" s="162" t="str">
        <x:v>SA, ages 16+ unless labeled otherwise. Hispanic ethnicity may be of any race. Groups overlap.</x:v>
      </x:c>
      <x:c r="J42" s="162" t="str">
        <x:v>https://fred.stlouisfed.org/series/LNS14032183</x:v>
      </x:c>
    </x:row>
    <x:row r="43" ht="44" customHeight="1">
      <x:c r="B43" s="138" t="str">
        <x:v>Prime-Age Participation</x:v>
      </x:c>
      <x:c r="C43" s="162" t="str">
        <x:v>Prime age (25-54)</x:v>
      </x:c>
      <x:c r="D43" s="162" t="str">
        <x:v>LNS11300060</x:v>
      </x:c>
      <x:c r="E43" s="162" t="str">
        <x:v>2026-08-01</x:v>
      </x:c>
      <x:c r="F43" s="162" t="str">
        <x:v>Retrieved</x:v>
      </x:c>
      <x:c r="G43" s="162" t="str">
        <x:v>SA</x:v>
      </x:c>
      <x:c r="H43" s="162" t="str"/>
      <x:c r="I43" s="162" t="str">
        <x:v>SA rates. Changes are percentage points.</x:v>
      </x:c>
      <x:c r="J43" s="162" t="str">
        <x:v>https://fred.stlouisfed.org/series/LNS11300060</x:v>
      </x:c>
    </x:row>
    <x:row r="44" ht="44" customHeight="1">
      <x:c r="B44" s="138" t="str">
        <x:v>Prime-Age Participation</x:v>
      </x:c>
      <x:c r="C44" s="162" t="str">
        <x:v>Prime-age employment / population</x:v>
      </x:c>
      <x:c r="D44" s="162" t="str">
        <x:v>LNS12300060</x:v>
      </x:c>
      <x:c r="E44" s="162" t="str">
        <x:v>2026-08-01</x:v>
      </x:c>
      <x:c r="F44" s="162" t="str">
        <x:v>Retrieved</x:v>
      </x:c>
      <x:c r="G44" s="162" t="str">
        <x:v>SA</x:v>
      </x:c>
      <x:c r="H44" s="162" t="str">
        <x:v>Percent</x:v>
      </x:c>
      <x:c r="I44" s="162" t="str">
        <x:v>SA rates. Changes are percentage points.</x:v>
      </x:c>
      <x:c r="J44" s="162" t="str">
        <x:v>https://fred.stlouisfed.org/series/LNS12300060</x:v>
      </x:c>
    </x:row>
    <x:row r="45" ht="44" customHeight="1">
      <x:c r="B45" s="138" t="str">
        <x:v>Wage Growth</x:v>
      </x:c>
      <x:c r="C45" s="162" t="str">
        <x:v>Average hourly earnings</x:v>
      </x:c>
      <x:c r="D45" s="162" t="str">
        <x:v>CES0500000003</x:v>
      </x:c>
      <x:c r="E45" s="162" t="str">
        <x:v>2026-08-01</x:v>
      </x:c>
      <x:c r="F45" s="162" t="str">
        <x:v>Retrieved</x:v>
      </x:c>
      <x:c r="G45" s="162" t="str">
        <x:v>SA</x:v>
      </x:c>
      <x:c r="H45" s="162" t="str">
        <x:v>Dollars per Hour</x:v>
      </x:c>
      <x:c r="I45" s="162" t="str">
        <x:v>Real AHE = nominal AHE / SA CPI-U × 100. Exact matching months.</x:v>
      </x:c>
      <x:c r="J45" s="162" t="str">
        <x:v>https://fred.stlouisfed.org/series/CES0500000003</x:v>
      </x:c>
    </x:row>
    <x:row r="46" ht="44" customHeight="1">
      <x:c r="B46" s="138" t="str">
        <x:v>Michigan Consumer Sentiment</x:v>
      </x:c>
      <x:c r="C46" s="162" t="str">
        <x:v>Consumer sentiment</x:v>
      </x:c>
      <x:c r="D46" s="162" t="str">
        <x:v>UMCSENT</x:v>
      </x:c>
      <x:c r="E46" s="162" t="str">
        <x:v>2026-07-01</x:v>
      </x:c>
      <x:c r="F46" s="162" t="str">
        <x:v>Retrieved</x:v>
      </x:c>
      <x:c r="G46" s="162" t="str">
        <x:v>NSA</x:v>
      </x:c>
      <x:c r="H46" s="162" t="str">
        <x:v>Index 1966 Q1=100</x:v>
      </x:c>
      <x:c r="I46" s="162" t="str">
        <x:v>FRED publication is delayed by one month at source request.</x:v>
      </x:c>
      <x:c r="J46" s="162" t="str">
        <x:v>https://fred.stlouisfed.org/series/UMCSENT</x:v>
      </x:c>
    </x:row>
    <x:row r="47" ht="44" customHeight="1">
      <x:c r="B47" s="138" t="str">
        <x:v>Prices of specific goods</x:v>
      </x:c>
      <x:c r="C47" s="162" t="str">
        <x:v>New Vehicles</x:v>
      </x:c>
      <x:c r="D47" s="162" t="str">
        <x:v>CUSR0000SETA01</x:v>
      </x:c>
      <x:c r="E47" s="162" t="str">
        <x:v>2026-08-01</x:v>
      </x:c>
      <x:c r="F47" s="162" t="str">
        <x:v>Retrieved</x:v>
      </x:c>
      <x:c r="G47" s="162" t="str">
        <x:v>SA</x:v>
      </x:c>
      <x:c r="H47" s="162" t="str">
        <x:v>Index 1982-1984=100</x:v>
      </x:c>
      <x:c r="I47" s="162" t="str"/>
      <x:c r="J47" s="162" t="str">
        <x:v>https://fred.stlouisfed.org/series/CUSR0000SETA01</x:v>
      </x:c>
    </x:row>
    <x:row r="48" ht="44" customHeight="1">
      <x:c r="B48" s="138" t="str">
        <x:v>Prices of specific goods</x:v>
      </x:c>
      <x:c r="C48" s="162" t="str">
        <x:v>Used Cars and Trucks</x:v>
      </x:c>
      <x:c r="D48" s="162" t="str">
        <x:v>CUSR0000SETA02</x:v>
      </x:c>
      <x:c r="E48" s="162" t="str">
        <x:v>2026-08-01</x:v>
      </x:c>
      <x:c r="F48" s="162" t="str">
        <x:v>Retrieved</x:v>
      </x:c>
      <x:c r="G48" s="162" t="str">
        <x:v>SA</x:v>
      </x:c>
      <x:c r="H48" s="162" t="str">
        <x:v>Index 1982-1984=100</x:v>
      </x:c>
      <x:c r="I48" s="162" t="str"/>
      <x:c r="J48" s="162" t="str">
        <x:v>https://fred.stlouisfed.org/series/CUSR0000SETA02</x:v>
      </x:c>
    </x:row>
    <x:row r="49" ht="44" customHeight="1">
      <x:c r="B49" s="138" t="str">
        <x:v>Prices of specific goods</x:v>
      </x:c>
      <x:c r="C49" s="162" t="str">
        <x:v>Apparel</x:v>
      </x:c>
      <x:c r="D49" s="162" t="str">
        <x:v>CPIAPPSL</x:v>
      </x:c>
      <x:c r="E49" s="162" t="str">
        <x:v>2026-08-01</x:v>
      </x:c>
      <x:c r="F49" s="162" t="str">
        <x:v>Retrieved</x:v>
      </x:c>
      <x:c r="G49" s="162" t="str">
        <x:v>SA</x:v>
      </x:c>
      <x:c r="H49" s="162" t="str">
        <x:v>Index 1982-1984=100</x:v>
      </x:c>
      <x:c r="I49" s="162" t="str"/>
      <x:c r="J49" s="162" t="str">
        <x:v>https://fred.stlouisfed.org/series/CPIAPPSL</x:v>
      </x:c>
    </x:row>
    <x:row r="50" ht="44" customHeight="1">
      <x:c r="B50" s="138" t="str">
        <x:v>Prices of specific goods</x:v>
      </x:c>
      <x:c r="C50" s="162" t="str">
        <x:v>Food at Home</x:v>
      </x:c>
      <x:c r="D50" s="162" t="str">
        <x:v>CUSR0000SAF11</x:v>
      </x:c>
      <x:c r="E50" s="162" t="str">
        <x:v>2026-08-01</x:v>
      </x:c>
      <x:c r="F50" s="162" t="str">
        <x:v>Retrieved</x:v>
      </x:c>
      <x:c r="G50" s="162" t="str">
        <x:v>SA</x:v>
      </x:c>
      <x:c r="H50" s="162" t="str">
        <x:v>Index 1982-1984=100</x:v>
      </x:c>
      <x:c r="I50" s="162" t="str"/>
      <x:c r="J50" s="162" t="str">
        <x:v>https://fred.stlouisfed.org/series/CUSR0000SAF11</x:v>
      </x:c>
    </x:row>
    <x:row r="51" ht="44" customHeight="1">
      <x:c r="B51" s="138" t="str">
        <x:v>Prices of specific goods</x:v>
      </x:c>
      <x:c r="C51" s="162" t="str">
        <x:v>Meats, Poultry, Fish, and Eggs</x:v>
      </x:c>
      <x:c r="D51" s="162" t="str">
        <x:v>CUSR0000SAF112</x:v>
      </x:c>
      <x:c r="E51" s="162" t="str">
        <x:v>2026-08-01</x:v>
      </x:c>
      <x:c r="F51" s="162" t="str">
        <x:v>Retrieved</x:v>
      </x:c>
      <x:c r="G51" s="162" t="str">
        <x:v>SA</x:v>
      </x:c>
      <x:c r="H51" s="162" t="str">
        <x:v>Index 1982-1984=100</x:v>
      </x:c>
      <x:c r="I51" s="162" t="str"/>
      <x:c r="J51" s="162" t="str">
        <x:v>https://fred.stlouisfed.org/series/CUSR0000SAF112</x:v>
      </x:c>
    </x:row>
    <x:row r="52" ht="44" customHeight="1">
      <x:c r="B52" s="138" t="str">
        <x:v>Business Applications</x:v>
      </x:c>
      <x:c r="C52" s="162" t="str">
        <x:v>Total applications</x:v>
      </x:c>
      <x:c r="D52" s="162" t="str">
        <x:v>BABATOTALSAUS</x:v>
      </x:c>
      <x:c r="E52" s="162" t="str">
        <x:v>2026-08-01</x:v>
      </x:c>
      <x:c r="F52" s="162" t="str">
        <x:v>Retrieved</x:v>
      </x:c>
      <x:c r="G52" s="162" t="str">
        <x:v>SA</x:v>
      </x:c>
      <x:c r="H52" s="162" t="str">
        <x:v>Number</x:v>
      </x:c>
      <x:c r="I52" s="162" t="str"/>
      <x:c r="J52" s="162" t="str">
        <x:v>https://fred.stlouisfed.org/series/BABATOTALSAUS</x:v>
      </x:c>
    </x:row>
    <x:row r="53" ht="44" customHeight="1">
      <x:c r="B53" s="138" t="str">
        <x:v>Business Applications</x:v>
      </x:c>
      <x:c r="C53" s="162" t="str">
        <x:v>High-propensity applications</x:v>
      </x:c>
      <x:c r="D53" s="162" t="str">
        <x:v>BAHBATOTALSAUS</x:v>
      </x:c>
      <x:c r="E53" s="162" t="str">
        <x:v>2026-08-01</x:v>
      </x:c>
      <x:c r="F53" s="162" t="str">
        <x:v>Retrieved</x:v>
      </x:c>
      <x:c r="G53" s="162" t="str">
        <x:v>SA</x:v>
      </x:c>
      <x:c r="H53" s="162" t="str">
        <x:v>Number</x:v>
      </x:c>
      <x:c r="I53" s="162" t="str"/>
      <x:c r="J53" s="162" t="str">
        <x:v>https://fred.stlouisfed.org/series/BAHBATOTALSAUS</x:v>
      </x:c>
    </x:row>
    <x:row r="54" ht="44" customHeight="1">
      <x:c r="B54" s="138" t="str">
        <x:v>Manuf</x:v>
      </x:c>
      <x:c r="C54" s="162" t="str">
        <x:v>Michigan manufacturing</x:v>
      </x:c>
      <x:c r="D54" s="162" t="str">
        <x:v>MIMFG</x:v>
      </x:c>
      <x:c r="E54" s="162" t="str">
        <x:v>2026-08-01</x:v>
      </x:c>
      <x:c r="F54" s="162" t="str">
        <x:v>Retrieved</x:v>
      </x:c>
      <x:c r="G54" s="162" t="str">
        <x:v>SA</x:v>
      </x:c>
      <x:c r="H54" s="162" t="str">
        <x:v>Thousands of Persons</x:v>
      </x:c>
      <x:c r="I54" s="162" t="str"/>
      <x:c r="J54" s="162" t="str">
        <x:v>https://fred.stlouisfed.org/series/MIMFG</x:v>
      </x:c>
    </x:row>
    <x:row r="55" ht="44" customHeight="1">
      <x:c r="B55" s="138" t="str">
        <x:v>Manuf</x:v>
      </x:c>
      <x:c r="C55" s="162" t="str">
        <x:v>Ohio manufacturing</x:v>
      </x:c>
      <x:c r="D55" s="162" t="str">
        <x:v>OHMFG</x:v>
      </x:c>
      <x:c r="E55" s="162" t="str">
        <x:v>2026-08-01</x:v>
      </x:c>
      <x:c r="F55" s="162" t="str">
        <x:v>Retrieved</x:v>
      </x:c>
      <x:c r="G55" s="162" t="str">
        <x:v>SA</x:v>
      </x:c>
      <x:c r="H55" s="162" t="str">
        <x:v>Thousands of Persons</x:v>
      </x:c>
      <x:c r="I55" s="162" t="str"/>
      <x:c r="J55" s="162" t="str">
        <x:v>https://fred.stlouisfed.org/series/OHMFG</x:v>
      </x:c>
    </x:row>
    <x:row r="56" ht="44" customHeight="1">
      <x:c r="B56" s="138" t="str">
        <x:v>Manuf</x:v>
      </x:c>
      <x:c r="C56" s="162" t="str">
        <x:v>Wisconsin manufacturing</x:v>
      </x:c>
      <x:c r="D56" s="162" t="str">
        <x:v>WIMFG</x:v>
      </x:c>
      <x:c r="E56" s="162" t="str">
        <x:v>2026-08-01</x:v>
      </x:c>
      <x:c r="F56" s="162" t="str">
        <x:v>Retrieved</x:v>
      </x:c>
      <x:c r="G56" s="162" t="str">
        <x:v>SA</x:v>
      </x:c>
      <x:c r="H56" s="162" t="str">
        <x:v>Thousands of Persons</x:v>
      </x:c>
      <x:c r="I56" s="162" t="str"/>
      <x:c r="J56" s="162" t="str">
        <x:v>https://fred.stlouisfed.org/series/WIMFG</x:v>
      </x:c>
    </x:row>
    <x:row r="57" ht="44" customHeight="1">
      <x:c r="B57" s="138" t="str">
        <x:v>Manuf</x:v>
      </x:c>
      <x:c r="C57" s="162" t="str">
        <x:v>Pennsylvania manufacturing</x:v>
      </x:c>
      <x:c r="D57" s="162" t="str">
        <x:v>PAMFG</x:v>
      </x:c>
      <x:c r="E57" s="162" t="str">
        <x:v>2026-08-01</x:v>
      </x:c>
      <x:c r="F57" s="162" t="str">
        <x:v>Retrieved</x:v>
      </x:c>
      <x:c r="G57" s="162" t="str">
        <x:v>SA</x:v>
      </x:c>
      <x:c r="H57" s="162" t="str">
        <x:v>Thousands of Persons</x:v>
      </x:c>
      <x:c r="I57" s="162" t="str"/>
      <x:c r="J57" s="162" t="str">
        <x:v>https://fred.stlouisfed.org/series/PAMFG</x:v>
      </x:c>
    </x:row>
    <x:row r="58" ht="44" customHeight="1">
      <x:c r="B58" s="138" t="str">
        <x:v>Manuf</x:v>
      </x:c>
      <x:c r="C58" s="162" t="str">
        <x:v>Minnesota manufacturing</x:v>
      </x:c>
      <x:c r="D58" s="162" t="str">
        <x:v>MNMFG</x:v>
      </x:c>
      <x:c r="E58" s="162" t="str">
        <x:v>2026-08-01</x:v>
      </x:c>
      <x:c r="F58" s="162" t="str">
        <x:v>Retrieved</x:v>
      </x:c>
      <x:c r="G58" s="162" t="str">
        <x:v>SA</x:v>
      </x:c>
      <x:c r="H58" s="162" t="str">
        <x:v>Thousands of Persons</x:v>
      </x:c>
      <x:c r="I58" s="162" t="str"/>
      <x:c r="J58" s="162" t="str">
        <x:v>https://fred.stlouisfed.org/series/MNMFG</x:v>
      </x:c>
    </x:row>
    <x:row r="59" ht="44" customHeight="1">
      <x:c r="B59" s="138" t="str">
        <x:v>Manuf</x:v>
      </x:c>
      <x:c r="C59" s="162" t="str">
        <x:v>Motor vehicles and parts manufacturing</x:v>
      </x:c>
      <x:c r="D59" s="162" t="str">
        <x:v>CES3133600101</x:v>
      </x:c>
      <x:c r="E59" s="162" t="str">
        <x:v>2026-08-01</x:v>
      </x:c>
      <x:c r="F59" s="162" t="str">
        <x:v>Retrieved</x:v>
      </x:c>
      <x:c r="G59" s="162" t="str">
        <x:v>SA</x:v>
      </x:c>
      <x:c r="H59" s="162" t="str">
        <x:v>Thousands of Persons</x:v>
      </x:c>
      <x:c r="I59" s="162" t="str"/>
      <x:c r="J59" s="162" t="str">
        <x:v>https://fred.stlouisfed.org/series/CES3133600101</x:v>
      </x:c>
    </x:row>
    <x:row r="60" ht="44" customHeight="1">
      <x:c r="B60" s="138" t="str">
        <x:v>Manuf</x:v>
      </x:c>
      <x:c r="C60" s="162" t="str">
        <x:v>Motor vehicle and parts dealers</x:v>
      </x:c>
      <x:c r="D60" s="162" t="str">
        <x:v>CES4244100001</x:v>
      </x:c>
      <x:c r="E60" s="162" t="str">
        <x:v>2026-08-01</x:v>
      </x:c>
      <x:c r="F60" s="162" t="str">
        <x:v>Retrieved</x:v>
      </x:c>
      <x:c r="G60" s="162" t="str">
        <x:v>SA</x:v>
      </x:c>
      <x:c r="H60" s="162" t="str">
        <x:v>Thousands of Persons</x:v>
      </x:c>
      <x:c r="I60" s="162" t="str"/>
      <x:c r="J60" s="162" t="str">
        <x:v>https://fred.stlouisfed.org/series/CES4244100001</x:v>
      </x:c>
    </x:row>
    <x:row r="61" ht="44" customHeight="1">
      <x:c r="B61" s="138" t="str">
        <x:v>Gasoline &amp; Diesel</x:v>
      </x:c>
      <x:c r="C61" s="162" t="str">
        <x:v>Gasoline</x:v>
      </x:c>
      <x:c r="D61" s="162" t="str">
        <x:v>GASREGW</x:v>
      </x:c>
      <x:c r="E61" s="162" t="str">
        <x:v>2026-09-21</x:v>
      </x:c>
      <x:c r="F61" s="162" t="str">
        <x:v>Retrieved</x:v>
      </x:c>
      <x:c r="G61" s="162" t="str">
        <x:v>NSA</x:v>
      </x:c>
      <x:c r="H61" s="162" t="str">
        <x:v>Dollars per Gallon</x:v>
      </x:c>
      <x:c r="I61" s="162" t="str">
        <x:v>EIA weekly prices, USD/gallon, NSA. Comparisons require exact observation dates.</x:v>
      </x:c>
      <x:c r="J61" s="162" t="str">
        <x:v>https://fred.stlouisfed.org/series/GASREGW</x:v>
      </x:c>
    </x:row>
    <x:row r="62" ht="44" customHeight="1">
      <x:c r="B62" s="138" t="str">
        <x:v>Gasoline &amp; Diesel</x:v>
      </x:c>
      <x:c r="C62" s="162" t="str">
        <x:v>Diesel</x:v>
      </x:c>
      <x:c r="D62" s="162" t="str">
        <x:v>GASDESW</x:v>
      </x:c>
      <x:c r="E62" s="162" t="str">
        <x:v>2026-09-21</x:v>
      </x:c>
      <x:c r="F62" s="162" t="str">
        <x:v>Retrieved</x:v>
      </x:c>
      <x:c r="G62" s="162" t="str">
        <x:v>NSA</x:v>
      </x:c>
      <x:c r="H62" s="162" t="str">
        <x:v>Dollars per Gallon</x:v>
      </x:c>
      <x:c r="I62" s="162" t="str">
        <x:v>EIA weekly prices, USD/gallon, NSA. Comparisons require exact observation dates.</x:v>
      </x:c>
      <x:c r="J62" s="162" t="str">
        <x:v>https://fred.stlouisfed.org/series/GASDESW</x:v>
      </x:c>
    </x:row>
    <x:row r="63" ht="44" customHeight="1">
      <x:c r="B63" s="138" t="str">
        <x:v>Gasoline &amp; Diesel</x:v>
      </x:c>
      <x:c r="C63" s="162" t="str">
        <x:v>AAA</x:v>
      </x:c>
      <x:c r="D63" s="162" t="str"/>
      <x:c r="E63" s="162" t="str">
        <x:v>n.a.</x:v>
      </x:c>
      <x:c r="F63" s="162" t="str">
        <x:v>Manual; not refreshed</x:v>
      </x:c>
      <x:c r="G63" s="162" t="str"/>
      <x:c r="H63" s="162" t="str"/>
      <x:c r="I63" s="162" t="str">
        <x:v>Daily AAA figures remain as supplied; not automatically refreshed.</x:v>
      </x:c>
      <x:c r="J63" s="162" t="str"/>
    </x:row>
    <x:row r="64" ht="44" customHeight="1">
      <x:c r="B64" s="138" t="str">
        <x:v>Claims</x:v>
      </x:c>
      <x:c r="C64" s="162" t="str">
        <x:v>Initial claims</x:v>
      </x:c>
      <x:c r="D64" s="162" t="str">
        <x:v>ICSA</x:v>
      </x:c>
      <x:c r="E64" s="162" t="str">
        <x:v>2026-09-12</x:v>
      </x:c>
      <x:c r="F64" s="162" t="str">
        <x:v>Retrieved</x:v>
      </x:c>
      <x:c r="G64" s="162" t="str">
        <x:v>SA</x:v>
      </x:c>
      <x:c r="H64" s="162" t="str">
        <x:v>Number</x:v>
      </x:c>
      <x:c r="I64" s="162" t="str"/>
      <x:c r="J64" s="162" t="str">
        <x:v>https://fred.stlouisfed.org/series/ICSA</x:v>
      </x:c>
    </x:row>
    <x:row r="65" ht="44" customHeight="1">
      <x:c r="B65" s="138" t="str">
        <x:v>Claims</x:v>
      </x:c>
      <x:c r="C65" s="162" t="str">
        <x:v>Initial claims 4-week average</x:v>
      </x:c>
      <x:c r="D65" s="162" t="str">
        <x:v>IC4WSA</x:v>
      </x:c>
      <x:c r="E65" s="162" t="str">
        <x:v>2026-09-12</x:v>
      </x:c>
      <x:c r="F65" s="162" t="str">
        <x:v>Retrieved</x:v>
      </x:c>
      <x:c r="G65" s="162" t="str">
        <x:v>SA</x:v>
      </x:c>
      <x:c r="H65" s="162" t="str">
        <x:v>Number</x:v>
      </x:c>
      <x:c r="I65" s="162" t="str"/>
      <x:c r="J65" s="162" t="str">
        <x:v>https://fred.stlouisfed.org/series/IC4WSA</x:v>
      </x:c>
    </x:row>
    <x:row r="66" ht="44" customHeight="1">
      <x:c r="B66" s="138" t="str">
        <x:v>Claims</x:v>
      </x:c>
      <x:c r="C66" s="162" t="str">
        <x:v>Continued claims</x:v>
      </x:c>
      <x:c r="D66" s="162" t="str">
        <x:v>CCSA</x:v>
      </x:c>
      <x:c r="E66" s="162" t="str">
        <x:v>2026-09-05</x:v>
      </x:c>
      <x:c r="F66" s="162" t="str">
        <x:v>Retrieved</x:v>
      </x:c>
      <x:c r="G66" s="162" t="str">
        <x:v>SA</x:v>
      </x:c>
      <x:c r="H66" s="162" t="str">
        <x:v>Number</x:v>
      </x:c>
      <x:c r="I66" s="162" t="str"/>
      <x:c r="J66" s="162" t="str">
        <x:v>https://fred.stlouisfed.org/series/CCSA</x:v>
      </x:c>
    </x:row>
    <x:row r="67" ht="44" customHeight="1">
      <x:c r="B67" s="138" t="str">
        <x:v>Markets</x:v>
      </x:c>
      <x:c r="C67" s="162" t="str">
        <x:v>S&amp;P 500</x:v>
      </x:c>
      <x:c r="D67" s="162" t="str">
        <x:v>SP500</x:v>
      </x:c>
      <x:c r="E67" s="162" t="str">
        <x:v>2026-09-22</x:v>
      </x:c>
      <x:c r="F67" s="162" t="str">
        <x:v>Retrieved</x:v>
      </x:c>
      <x:c r="G67" s="162" t="str">
        <x:v>NSA</x:v>
      </x:c>
      <x:c r="H67" s="162" t="str">
        <x:v>Index</x:v>
      </x:c>
      <x:c r="I67" s="162" t="str">
        <x:v>Closing price index; price returns exclude dividends. Not seasonally adjusted.</x:v>
      </x:c>
      <x:c r="J67" s="162" t="str">
        <x:v>https://fred.stlouisfed.org/series/SP500</x:v>
      </x:c>
    </x:row>
    <x:row r="68" ht="44" customHeight="1">
      <x:c r="B68" s="138" t="str">
        <x:v>Markets</x:v>
      </x:c>
      <x:c r="C68" s="162" t="str">
        <x:v>Dow Jones Industrial Average</x:v>
      </x:c>
      <x:c r="D68" s="162" t="str">
        <x:v>DJIA</x:v>
      </x:c>
      <x:c r="E68" s="162" t="str">
        <x:v>2026-09-22</x:v>
      </x:c>
      <x:c r="F68" s="162" t="str">
        <x:v>Retrieved</x:v>
      </x:c>
      <x:c r="G68" s="162" t="str">
        <x:v>NSA</x:v>
      </x:c>
      <x:c r="H68" s="162" t="str">
        <x:v>Index</x:v>
      </x:c>
      <x:c r="I68" s="162" t="str">
        <x:v>Closing price index; price returns exclude dividends. Not seasonally adjusted.</x:v>
      </x:c>
      <x:c r="J68" s="162" t="str">
        <x:v>https://fred.stlouisfed.org/series/DJIA</x:v>
      </x:c>
    </x:row>
    <x:row r="69" ht="44" customHeight="1">
      <x:c r="B69" s="138" t="str">
        <x:v>Markets</x:v>
      </x:c>
      <x:c r="C69" s="162" t="str">
        <x:v>NASDAQ Composite</x:v>
      </x:c>
      <x:c r="D69" s="162" t="str">
        <x:v>NASDAQCOM</x:v>
      </x:c>
      <x:c r="E69" s="162" t="str">
        <x:v>2026-09-22</x:v>
      </x:c>
      <x:c r="F69" s="162" t="str">
        <x:v>Retrieved</x:v>
      </x:c>
      <x:c r="G69" s="162" t="str">
        <x:v>NSA</x:v>
      </x:c>
      <x:c r="H69" s="162" t="str">
        <x:v>Index</x:v>
      </x:c>
      <x:c r="I69" s="162" t="str">
        <x:v>Closing price index; price returns exclude dividends. Not seasonally adjusted.</x:v>
      </x:c>
      <x:c r="J69" s="162" t="str">
        <x:v>https://fred.stlouisfed.org/series/NASDAQCOM</x:v>
      </x:c>
    </x:row>
    <x:row r="70" ht="44" customHeight="1">
      <x:c r="B70" s="138" t="str">
        <x:v>Federal Budget</x:v>
      </x:c>
      <x:c r="C70" s="162" t="str">
        <x:v>Federal monthly surplus or deficit</x:v>
      </x:c>
      <x:c r="D70" s="162" t="str">
        <x:v>MTSDS133FMS</x:v>
      </x:c>
      <x:c r="E70" s="162" t="str">
        <x:v>2026-08-01</x:v>
      </x:c>
      <x:c r="F70" s="162" t="str">
        <x:v>Retrieved</x:v>
      </x:c>
      <x:c r="G70" s="162" t="str">
        <x:v>NSA</x:v>
      </x:c>
      <x:c r="H70" s="162" t="str">
        <x:v>USD millions</x:v>
      </x:c>
      <x:c r="I70" s="162" t="str">
        <x:v>Treasury cash balance, NSA. Source surplus is positive; displayed deficit reverses sign. Fiscal year begins October.</x:v>
      </x:c>
      <x:c r="J70" s="162" t="str">
        <x:v>https://fred.stlouisfed.org/series/MTSDS133FMS</x:v>
      </x:c>
    </x:row>
    <x:row r="71" ht="44" customHeight="1">
      <x:c r="B71" s="138" t="str">
        <x:v>Federal Budget</x:v>
      </x:c>
      <x:c r="C71" s="162" t="str">
        <x:v>Fiscal year surplus or deficit / GDP</x:v>
      </x:c>
      <x:c r="D71" s="162" t="str">
        <x:v>FYFSGDA188S</x:v>
      </x:c>
      <x:c r="E71" s="162" t="str">
        <x:v>2025-01-01</x:v>
      </x:c>
      <x:c r="F71" s="162" t="str">
        <x:v>Retrieved</x:v>
      </x:c>
      <x:c r="G71" s="162" t="str">
        <x:v>NSA</x:v>
      </x:c>
      <x:c r="H71" s="162" t="str">
        <x:v>Percent of GDP</x:v>
      </x:c>
      <x:c r="I71" s="162" t="str">
        <x:v>Fiscal-year deficit/GDP: source balance sign reversed.</x:v>
      </x:c>
      <x:c r="J71" s="162" t="str">
        <x:v>https://fred.stlouisfed.org/series/FYFSGDA188S</x:v>
      </x:c>
    </x:row>
    <x:row r="72" ht="44" customHeight="1">
      <x:c r="B72" s="138" t="str">
        <x:v>Other Indicators</x:v>
      </x:c>
      <x:c r="C72" s="162" t="str">
        <x:v>Job openings</x:v>
      </x:c>
      <x:c r="D72" s="162" t="str">
        <x:v>JTSJOL</x:v>
      </x:c>
      <x:c r="E72" s="162" t="str">
        <x:v>2026-07-01</x:v>
      </x:c>
      <x:c r="F72" s="162" t="str">
        <x:v>Retrieved</x:v>
      </x:c>
      <x:c r="G72" s="162" t="str">
        <x:v>SA</x:v>
      </x:c>
      <x:c r="H72" s="162" t="str">
        <x:v>Thousands</x:v>
      </x:c>
      <x:c r="I72" s="162" t="str"/>
      <x:c r="J72" s="162" t="str">
        <x:v>https://fred.stlouisfed.org/series/JTSJOL</x:v>
      </x:c>
    </x:row>
    <x:row r="73" ht="44" customHeight="1">
      <x:c r="B73" s="138" t="str">
        <x:v>Other Indicators</x:v>
      </x:c>
      <x:c r="C73" s="162" t="str">
        <x:v>Quits rate</x:v>
      </x:c>
      <x:c r="D73" s="162" t="str">
        <x:v>JTSQUR</x:v>
      </x:c>
      <x:c r="E73" s="162" t="str">
        <x:v>2026-07-01</x:v>
      </x:c>
      <x:c r="F73" s="162" t="str">
        <x:v>Retrieved</x:v>
      </x:c>
      <x:c r="G73" s="162" t="str">
        <x:v>SA</x:v>
      </x:c>
      <x:c r="H73" s="162" t="str">
        <x:v>Percent</x:v>
      </x:c>
      <x:c r="I73" s="162" t="str"/>
      <x:c r="J73" s="162" t="str">
        <x:v>https://fred.stlouisfed.org/series/JTSQUR</x:v>
      </x:c>
    </x:row>
    <x:row r="74" ht="44" customHeight="1">
      <x:c r="B74" s="138" t="str">
        <x:v>Other Indicators</x:v>
      </x:c>
      <x:c r="C74" s="162" t="str">
        <x:v>U-6 underemployment</x:v>
      </x:c>
      <x:c r="D74" s="162" t="str">
        <x:v>U6RATE</x:v>
      </x:c>
      <x:c r="E74" s="162" t="str">
        <x:v>2026-08-01</x:v>
      </x:c>
      <x:c r="F74" s="162" t="str">
        <x:v>Retrieved</x:v>
      </x:c>
      <x:c r="G74" s="162" t="str">
        <x:v>SA</x:v>
      </x:c>
      <x:c r="H74" s="162" t="str">
        <x:v>Percent</x:v>
      </x:c>
      <x:c r="I74" s="162" t="str"/>
      <x:c r="J74" s="162" t="str">
        <x:v>https://fred.stlouisfed.org/series/U6RATE</x:v>
      </x:c>
    </x:row>
    <x:row r="75" ht="44" customHeight="1">
      <x:c r="B75" s="138" t="str">
        <x:v>Calendar</x:v>
      </x:c>
      <x:c r="C75" s="162" t="str">
        <x:v>Release schedule</x:v>
      </x:c>
      <x:c r="D75" s="162" t="str"/>
      <x:c r="E75" s="162" t="str">
        <x:v>n.a.</x:v>
      </x:c>
      <x:c r="F75" s="162" t="str">
        <x:v>Manual; not refreshed</x:v>
      </x:c>
      <x:c r="G75" s="162" t="str"/>
      <x:c r="H75" s="162" t="str"/>
      <x:c r="I75" s="162" t="str">
        <x:v>Calendar table preserved. Release dates require manual review; consult the linked calendar.</x:v>
      </x:c>
      <x:c r="J75" s="162" t="str"/>
    </x:row>
    <x:row r="76" ht="44" customHeight="1">
      <x:c r="B76" s="138" t="str">
        <x:v>G7 comparisons</x:v>
      </x:c>
      <x:c r="C76" s="162" t="str">
        <x:v>Custom GDP graph</x:v>
      </x:c>
      <x:c r="D76" s="162" t="str"/>
      <x:c r="E76" s="162" t="str">
        <x:v>n.a.</x:v>
      </x:c>
      <x:c r="F76" s="162" t="str">
        <x:v>Manual; not refreshed</x:v>
      </x:c>
      <x:c r="G76" s="162" t="str"/>
      <x:c r="H76" s="162" t="str"/>
      <x:c r="I76" s="162" t="str">
        <x:v>Download the supplied custom FRED chart with download_fred_charts.py. Graph transformations are preserved there.</x:v>
      </x:c>
      <x:c r="J76" s="162" t="str"/>
    </x:row>
    <x:row r="79">
      <x:c r="B79" t="str">
        <x:v>SA = seasonally adjusted. NSA = not seasonally adjusted. n.a. means a required observation is missing. Workbook is a snapshot.</x:v>
      </x:c>
    </x:row>
  </x:sheetData>
  <x:pageMargins left="0.7" right="0.7" top="0.75" bottom="0.75" header="0.3" footer="0.3"/>
</x:worksheet>
</file>