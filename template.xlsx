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I" sheetId="1" r:id="rId5"/>
    <sheet state="visible" name="PCE" sheetId="2" r:id="rId6"/>
    <sheet state="visible" name="Gasoline &amp; Diesel" sheetId="3" r:id="rId7"/>
    <sheet state="visible" name="Employment " sheetId="4" r:id="rId8"/>
    <sheet state="visible" name="Wage Growth" sheetId="5" r:id="rId9"/>
    <sheet state="visible" name="Prime-Age Participation" sheetId="6" r:id="rId10"/>
    <sheet state="visible" name="Unemployment Rates" sheetId="7" r:id="rId11"/>
    <sheet state="visible" name="Michigan Consumer Sentiment" sheetId="8" r:id="rId12"/>
    <sheet state="visible" name="Calendar" sheetId="9" r:id="rId13"/>
    <sheet state="visible" name="G7 comparisons" sheetId="10" r:id="rId14"/>
    <sheet state="visible" name="Prices of specific goods" sheetId="11" r:id="rId15"/>
    <sheet state="visible" name="Manuf" sheetId="12" r:id="rId16"/>
  </sheets>
  <definedNames/>
  <calcPr/>
</workbook>
</file>

<file path=xl/sharedStrings.xml><?xml version="1.0" encoding="utf-8"?>
<sst xmlns="http://schemas.openxmlformats.org/spreadsheetml/2006/main" count="164" uniqueCount="111">
  <si>
    <t>Updated on Sep. 23</t>
  </si>
  <si>
    <t>July Data</t>
  </si>
  <si>
    <t>Updated Sept. 23</t>
  </si>
  <si>
    <t>August Data</t>
  </si>
  <si>
    <t>MoM</t>
  </si>
  <si>
    <t xml:space="preserve">August </t>
  </si>
  <si>
    <t>MoM a.r.</t>
  </si>
  <si>
    <t>3-Month Avg.</t>
  </si>
  <si>
    <t>12-Month Avg.</t>
  </si>
  <si>
    <t>Trump Term Avg.</t>
  </si>
  <si>
    <t>AAA</t>
  </si>
  <si>
    <t>3-Month a.r.</t>
  </si>
  <si>
    <t>2024 Avg.</t>
  </si>
  <si>
    <t>6-Month a.r.</t>
  </si>
  <si>
    <t>2023 Avg.</t>
  </si>
  <si>
    <t>Overall</t>
  </si>
  <si>
    <t>YoY</t>
  </si>
  <si>
    <t>Fuel Type</t>
  </si>
  <si>
    <t>Today</t>
  </si>
  <si>
    <t>Headline</t>
  </si>
  <si>
    <t>1 Week Ago</t>
  </si>
  <si>
    <t>1 Month Ago</t>
  </si>
  <si>
    <t>1 Year Ago</t>
  </si>
  <si>
    <t>Start of Iran War*</t>
  </si>
  <si>
    <t>Inauguration Day**</t>
  </si>
  <si>
    <t>2024 Average</t>
  </si>
  <si>
    <t>2023 Average</t>
  </si>
  <si>
    <t>Gasoline</t>
  </si>
  <si>
    <t>Manufacturing</t>
  </si>
  <si>
    <t>Latest report:</t>
  </si>
  <si>
    <t>Core</t>
  </si>
  <si>
    <t>https://www.bls.gov/news.release/pdf/empsit.pdf</t>
  </si>
  <si>
    <t>Diesel</t>
  </si>
  <si>
    <t>Core Goods</t>
  </si>
  <si>
    <t>Core Services</t>
  </si>
  <si>
    <t>EconVitals:</t>
  </si>
  <si>
    <t>Housing</t>
  </si>
  <si>
    <t>https://econvitals.org/labor/#sec-employment</t>
  </si>
  <si>
    <t>* Feb. 28, 2026</t>
  </si>
  <si>
    <t>** Jan. 20, 2025</t>
  </si>
  <si>
    <t>Food</t>
  </si>
  <si>
    <t>Shelter</t>
  </si>
  <si>
    <t>AAA:</t>
  </si>
  <si>
    <t>https://gasprices.aaa.com/</t>
  </si>
  <si>
    <t>FRED - All:</t>
  </si>
  <si>
    <t>Energy</t>
  </si>
  <si>
    <t>https://fred.stlouisfed.org/series/PAYEMS</t>
  </si>
  <si>
    <t>Latest Print:</t>
  </si>
  <si>
    <t>https://econvitals.org/inflation/#sec-pce</t>
  </si>
  <si>
    <t>https://www.bls.gov/news.release/pdf/cpi.pdf</t>
  </si>
  <si>
    <t>EIA</t>
  </si>
  <si>
    <t>FRED - Manufacturing:</t>
  </si>
  <si>
    <t>https://fred.stlouisfed.org/series/MANEMP</t>
  </si>
  <si>
    <t>Sept. 21</t>
  </si>
  <si>
    <t>Week Ago</t>
  </si>
  <si>
    <t>Month Ago</t>
  </si>
  <si>
    <t>Year Ago</t>
  </si>
  <si>
    <t>https://econvitals.org/inflation/#sec-cpi</t>
  </si>
  <si>
    <t>CPI/PCE easy download (slight delay on data release days)</t>
  </si>
  <si>
    <t>https://fred.stlouisfed.org/graph/?g=1wX9M</t>
  </si>
  <si>
    <t>* Feb. 23, 2026 -- 5 days before war started</t>
  </si>
  <si>
    <t>EIA:</t>
  </si>
  <si>
    <r>
      <rPr>
        <color rgb="FF1155CC"/>
        <u/>
      </rPr>
      <t>https://www.eia.gov/petroleum/gasdiesel/</t>
    </r>
  </si>
  <si>
    <t>- Use data tab 3 in Gasoline workbook and data tab 1 in Diesel workbook</t>
  </si>
  <si>
    <t>August</t>
  </si>
  <si>
    <t>12-Month a.r.</t>
  </si>
  <si>
    <t>Average Hourly Earnings</t>
  </si>
  <si>
    <t>Real AHE</t>
  </si>
  <si>
    <t>https://fred.stlouisfed.org/graph/?g=1EdfQ</t>
  </si>
  <si>
    <t>Date</t>
  </si>
  <si>
    <t>Data Release</t>
  </si>
  <si>
    <t>Period</t>
  </si>
  <si>
    <t>Last</t>
  </si>
  <si>
    <t>Sept. 24</t>
  </si>
  <si>
    <t>Jobless Claims</t>
  </si>
  <si>
    <t>Weekly</t>
  </si>
  <si>
    <t>196k (initial claims)</t>
  </si>
  <si>
    <t>New Home Sales</t>
  </si>
  <si>
    <t>607k</t>
  </si>
  <si>
    <t>Sept. 25</t>
  </si>
  <si>
    <t>Durable Goods</t>
  </si>
  <si>
    <t>Michigan Consumer Sentiment</t>
  </si>
  <si>
    <t>September</t>
  </si>
  <si>
    <t>Sept. 29</t>
  </si>
  <si>
    <t xml:space="preserve">	Conference Board Consumer Confidence</t>
  </si>
  <si>
    <t>JOLTS</t>
  </si>
  <si>
    <t>7.27m</t>
  </si>
  <si>
    <t>Midwest Manuf</t>
  </si>
  <si>
    <t>https://fred.stlouisfed.org/graph/?g=1tzuA</t>
  </si>
  <si>
    <t>S&amp;P Case-Shiller HPI</t>
  </si>
  <si>
    <t>July</t>
  </si>
  <si>
    <t>Sept. 30</t>
  </si>
  <si>
    <t>GDP (Third Estimate)</t>
  </si>
  <si>
    <t xml:space="preserve">Q2 </t>
  </si>
  <si>
    <t>PCE</t>
  </si>
  <si>
    <t>0.2% (headline)</t>
  </si>
  <si>
    <t>Auto Jobs</t>
  </si>
  <si>
    <t>Personal Income</t>
  </si>
  <si>
    <t>https://fred.stlouisfed.org/graph/?g=1vp6J</t>
  </si>
  <si>
    <t>0.4% (income)</t>
  </si>
  <si>
    <t>Oct. 1</t>
  </si>
  <si>
    <t>Oct. 2</t>
  </si>
  <si>
    <t>Jobs day</t>
  </si>
  <si>
    <t xml:space="preserve">162k </t>
  </si>
  <si>
    <t>Oct. 8</t>
  </si>
  <si>
    <t>Oct. 14</t>
  </si>
  <si>
    <t>CPI</t>
  </si>
  <si>
    <t>0.4% (headline)</t>
  </si>
  <si>
    <t>Oct. 15</t>
  </si>
  <si>
    <t>PPI</t>
  </si>
  <si>
    <t>https://econvitals.org/calendar/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</si>
</sst>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. d, yyyy"/>
    <numFmt numFmtId="165" formatCode="mmm d, yyyy"/>
    <numFmt numFmtId="166" formatCode="0.0"/>
    <numFmt numFmtId="167" formatCode="&quot;$&quot;#,##0.00"/>
    <numFmt numFmtId="168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</fills>
  <borders count="3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5" fillId="3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/>
    </xf>
    <xf borderId="7" fillId="3" fontId="2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readingOrder="0"/>
    </xf>
    <xf borderId="8" fillId="3" fontId="2" numFmtId="0" xfId="0" applyAlignment="1" applyBorder="1" applyFill="1" applyFont="1">
      <alignment horizontal="center" readingOrder="0"/>
    </xf>
    <xf borderId="9" fillId="0" fontId="3" numFmtId="0" xfId="0" applyAlignment="1" applyBorder="1" applyFont="1">
      <alignment horizontal="left" readingOrder="0" shrinkToFit="0" wrapText="1"/>
    </xf>
    <xf borderId="10" fillId="0" fontId="3" numFmtId="0" xfId="0" applyAlignment="1" applyBorder="1" applyFont="1">
      <alignment horizontal="left" readingOrder="0" shrinkToFit="0" wrapText="1"/>
    </xf>
    <xf borderId="9" fillId="0" fontId="3" numFmtId="3" xfId="0" applyAlignment="1" applyBorder="1" applyFont="1" applyNumberFormat="1">
      <alignment horizontal="center" readingOrder="0" shrinkToFit="0" wrapText="1"/>
    </xf>
    <xf borderId="11" fillId="3" fontId="2" numFmtId="0" xfId="0" applyAlignment="1" applyBorder="1" applyFill="1" applyFont="1">
      <alignment horizontal="center" readingOrder="0"/>
    </xf>
    <xf borderId="12" fillId="0" fontId="3" numFmtId="166" xfId="0" applyAlignment="1" applyBorder="1" applyFont="1" applyNumberFormat="1">
      <alignment horizontal="center" readingOrder="0" shrinkToFit="0" wrapText="1"/>
    </xf>
    <xf borderId="13" fillId="0" fontId="3" numFmtId="3" xfId="0" applyAlignment="1" applyBorder="1" applyFont="1" applyNumberFormat="1">
      <alignment horizontal="center" readingOrder="0" shrinkToFit="0" wrapText="1"/>
    </xf>
    <xf borderId="14" fillId="0" fontId="3" numFmtId="166" xfId="0" applyAlignment="1" applyBorder="1" applyFont="1" applyNumberFormat="1">
      <alignment horizontal="center" readingOrder="0" shrinkToFit="0" wrapText="1"/>
    </xf>
    <xf borderId="12" fillId="0" fontId="4" numFmtId="166" xfId="0" applyAlignment="1" applyBorder="1" applyFont="1" applyNumberFormat="1">
      <alignment horizontal="center" readingOrder="0"/>
    </xf>
    <xf borderId="15" fillId="0" fontId="4" numFmtId="3" xfId="0" applyAlignment="1" applyBorder="1" applyFont="1" applyNumberFormat="1">
      <alignment horizontal="center" readingOrder="0"/>
    </xf>
    <xf borderId="16" fillId="0" fontId="3" numFmtId="0" xfId="0" applyAlignment="1" applyBorder="1" applyFont="1">
      <alignment horizontal="left" readingOrder="0" shrinkToFit="0" wrapText="1"/>
    </xf>
    <xf borderId="17" fillId="0" fontId="4" numFmtId="3" xfId="0" applyAlignment="1" applyBorder="1" applyFont="1" applyNumberFormat="1">
      <alignment horizontal="center" readingOrder="0"/>
    </xf>
    <xf borderId="18" fillId="0" fontId="4" numFmtId="166" xfId="0" applyAlignment="1" applyBorder="1" applyFont="1" applyNumberFormat="1">
      <alignment horizontal="center" readingOrder="0"/>
    </xf>
    <xf borderId="12" fillId="0" fontId="3" numFmtId="167" xfId="0" applyAlignment="1" applyBorder="1" applyFont="1" applyNumberFormat="1">
      <alignment horizontal="center" readingOrder="0" shrinkToFit="0" wrapText="1"/>
    </xf>
    <xf borderId="14" fillId="0" fontId="4" numFmtId="166" xfId="0" applyAlignment="1" applyBorder="1" applyFont="1" applyNumberFormat="1">
      <alignment horizontal="center" readingOrder="0"/>
    </xf>
    <xf borderId="18" fillId="0" fontId="3" numFmtId="167" xfId="0" applyAlignment="1" applyBorder="1" applyFont="1" applyNumberFormat="1">
      <alignment horizontal="center" readingOrder="0" shrinkToFit="0" wrapText="1"/>
    </xf>
    <xf borderId="0" fillId="0" fontId="1" numFmtId="0" xfId="0" applyAlignment="1" applyFont="1">
      <alignment readingOrder="0"/>
    </xf>
    <xf borderId="19" fillId="0" fontId="3" numFmtId="0" xfId="0" applyAlignment="1" applyBorder="1" applyFont="1">
      <alignment horizontal="left" readingOrder="0" shrinkToFit="0" wrapText="1"/>
    </xf>
    <xf borderId="18" fillId="0" fontId="4" numFmtId="167" xfId="0" applyAlignment="1" applyBorder="1" applyFont="1" applyNumberFormat="1">
      <alignment horizontal="center" readingOrder="0"/>
    </xf>
    <xf borderId="20" fillId="0" fontId="3" numFmtId="166" xfId="0" applyAlignment="1" applyBorder="1" applyFont="1" applyNumberFormat="1">
      <alignment horizontal="center" readingOrder="0" shrinkToFit="0" wrapText="1"/>
    </xf>
    <xf borderId="21" fillId="0" fontId="4" numFmtId="167" xfId="0" applyAlignment="1" applyBorder="1" applyFont="1" applyNumberFormat="1">
      <alignment horizontal="center" readingOrder="0"/>
    </xf>
    <xf borderId="22" fillId="0" fontId="3" numFmtId="166" xfId="0" applyAlignment="1" applyBorder="1" applyFont="1" applyNumberFormat="1">
      <alignment horizontal="center" readingOrder="0" shrinkToFit="0" wrapText="1"/>
    </xf>
    <xf borderId="23" fillId="0" fontId="4" numFmtId="167" xfId="0" applyAlignment="1" applyBorder="1" applyFont="1" applyNumberFormat="1">
      <alignment horizontal="center" readingOrder="0"/>
    </xf>
    <xf borderId="20" fillId="0" fontId="4" numFmtId="166" xfId="0" applyAlignment="1" applyBorder="1" applyFont="1" applyNumberFormat="1">
      <alignment horizontal="center" readingOrder="0"/>
    </xf>
    <xf borderId="12" fillId="0" fontId="4" numFmtId="167" xfId="0" applyAlignment="1" applyBorder="1" applyFont="1" applyNumberFormat="1">
      <alignment horizontal="center" readingOrder="0"/>
    </xf>
    <xf borderId="24" fillId="0" fontId="4" numFmtId="166" xfId="0" applyAlignment="1" applyBorder="1" applyFont="1" applyNumberFormat="1">
      <alignment horizontal="center" readingOrder="0"/>
    </xf>
    <xf borderId="25" fillId="0" fontId="3" numFmtId="0" xfId="0" applyAlignment="1" applyBorder="1" applyFont="1">
      <alignment horizontal="left" readingOrder="0" shrinkToFit="0" wrapText="1"/>
    </xf>
    <xf borderId="22" fillId="0" fontId="4" numFmtId="166" xfId="0" applyAlignment="1" applyBorder="1" applyFont="1" applyNumberFormat="1">
      <alignment horizontal="center" readingOrder="0"/>
    </xf>
    <xf borderId="26" fillId="0" fontId="3" numFmtId="167" xfId="0" applyAlignment="1" applyBorder="1" applyFont="1" applyNumberFormat="1">
      <alignment horizontal="center" readingOrder="0" shrinkToFit="0" wrapText="1"/>
    </xf>
    <xf borderId="27" fillId="0" fontId="3" numFmtId="167" xfId="0" applyAlignment="1" applyBorder="1" applyFont="1" applyNumberFormat="1">
      <alignment horizontal="center" readingOrder="0" shrinkToFit="0" wrapText="1"/>
    </xf>
    <xf borderId="12" fillId="0" fontId="4" numFmtId="166" xfId="0" applyAlignment="1" applyBorder="1" applyFont="1" applyNumberFormat="1">
      <alignment horizontal="center"/>
    </xf>
    <xf borderId="27" fillId="0" fontId="4" numFmtId="167" xfId="0" applyAlignment="1" applyBorder="1" applyFont="1" applyNumberFormat="1">
      <alignment horizontal="center" readingOrder="0"/>
    </xf>
    <xf borderId="14" fillId="0" fontId="4" numFmtId="166" xfId="0" applyAlignment="1" applyBorder="1" applyFont="1" applyNumberFormat="1">
      <alignment horizontal="center"/>
    </xf>
    <xf borderId="28" fillId="0" fontId="4" numFmtId="167" xfId="0" applyAlignment="1" applyBorder="1" applyFont="1" applyNumberFormat="1">
      <alignment horizontal="center" readingOrder="0"/>
    </xf>
    <xf borderId="20" fillId="0" fontId="4" numFmtId="166" xfId="0" applyAlignment="1" applyBorder="1" applyFont="1" applyNumberFormat="1">
      <alignment horizontal="center"/>
    </xf>
    <xf borderId="29" fillId="0" fontId="4" numFmtId="167" xfId="0" applyAlignment="1" applyBorder="1" applyFont="1" applyNumberFormat="1">
      <alignment horizontal="center" readingOrder="0"/>
    </xf>
    <xf borderId="0" fillId="0" fontId="5" numFmtId="0" xfId="0" applyAlignment="1" applyFont="1">
      <alignment readingOrder="0"/>
    </xf>
    <xf borderId="22" fillId="0" fontId="4" numFmtId="166" xfId="0" applyAlignment="1" applyBorder="1" applyFont="1" applyNumberFormat="1">
      <alignment horizontal="center"/>
    </xf>
    <xf borderId="26" fillId="0" fontId="4" numFmtId="167" xfId="0" applyAlignment="1" applyBorder="1" applyFont="1" applyNumberFormat="1">
      <alignment horizontal="center" readingOrder="0"/>
    </xf>
    <xf borderId="30" fillId="0" fontId="3" numFmtId="0" xfId="0" applyAlignment="1" applyBorder="1" applyFont="1">
      <alignment horizontal="left" readingOrder="0" shrinkToFit="0" wrapText="1"/>
    </xf>
    <xf borderId="31" fillId="0" fontId="3" numFmtId="166" xfId="0" applyAlignment="1" applyBorder="1" applyFont="1" applyNumberFormat="1">
      <alignment horizontal="center" readingOrder="0" shrinkToFit="0" wrapText="1"/>
    </xf>
    <xf borderId="32" fillId="0" fontId="3" numFmtId="166" xfId="0" applyAlignment="1" applyBorder="1" applyFont="1" applyNumberFormat="1">
      <alignment horizontal="center" readingOrder="0" shrinkToFit="0" wrapText="1"/>
    </xf>
    <xf borderId="31" fillId="0" fontId="4" numFmtId="166" xfId="0" applyAlignment="1" applyBorder="1" applyFont="1" applyNumberFormat="1">
      <alignment horizontal="center" readingOrder="0"/>
    </xf>
    <xf borderId="33" fillId="0" fontId="4" numFmtId="166" xfId="0" applyAlignment="1" applyBorder="1" applyFont="1" applyNumberFormat="1">
      <alignment horizontal="center" readingOrder="0"/>
    </xf>
    <xf borderId="32" fillId="0" fontId="4" numFmtId="166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34" fillId="0" fontId="3" numFmtId="0" xfId="0" applyAlignment="1" applyBorder="1" applyFont="1">
      <alignment horizontal="left" readingOrder="0" shrinkToFit="0" wrapText="1"/>
    </xf>
    <xf borderId="35" fillId="0" fontId="3" numFmtId="166" xfId="0" applyAlignment="1" applyBorder="1" applyFont="1" applyNumberFormat="1">
      <alignment horizontal="center" readingOrder="0" shrinkToFit="0" wrapText="1"/>
    </xf>
    <xf borderId="36" fillId="0" fontId="3" numFmtId="166" xfId="0" applyAlignment="1" applyBorder="1" applyFont="1" applyNumberFormat="1">
      <alignment horizontal="center" readingOrder="0" shrinkToFit="0" wrapText="1"/>
    </xf>
    <xf borderId="35" fillId="0" fontId="4" numFmtId="166" xfId="0" applyAlignment="1" applyBorder="1" applyFont="1" applyNumberFormat="1">
      <alignment horizontal="center" readingOrder="0"/>
    </xf>
    <xf borderId="37" fillId="0" fontId="4" numFmtId="166" xfId="0" applyAlignment="1" applyBorder="1" applyFont="1" applyNumberFormat="1">
      <alignment horizontal="center" readingOrder="0"/>
    </xf>
    <xf borderId="36" fillId="0" fontId="4" numFmtId="166" xfId="0" applyAlignment="1" applyBorder="1" applyFont="1" applyNumberFormat="1">
      <alignment horizontal="center" readingOrder="0"/>
    </xf>
    <xf borderId="2" fillId="5" fontId="2" numFmtId="0" xfId="0" applyAlignment="1" applyBorder="1" applyFill="1" applyFont="1">
      <alignment readingOrder="0"/>
    </xf>
    <xf borderId="4" fillId="5" fontId="2" numFmtId="0" xfId="0" applyAlignment="1" applyBorder="1" applyFill="1" applyFont="1">
      <alignment horizontal="center" readingOrder="0"/>
    </xf>
    <xf borderId="11" fillId="5" fontId="2" numFmtId="0" xfId="0" applyAlignment="1" applyBorder="1" applyFill="1" applyFont="1">
      <alignment horizontal="center" readingOrder="0"/>
    </xf>
    <xf borderId="5" fillId="5" fontId="2" numFmtId="0" xfId="0" applyAlignment="1" applyBorder="1" applyFill="1" applyFont="1">
      <alignment horizontal="center" readingOrder="0"/>
    </xf>
    <xf borderId="13" fillId="0" fontId="3" numFmtId="167" xfId="0" applyAlignment="1" applyBorder="1" applyFont="1" applyNumberFormat="1">
      <alignment horizontal="center" readingOrder="0" shrinkToFit="0" wrapText="1"/>
    </xf>
    <xf borderId="38" fillId="0" fontId="3" numFmtId="167" xfId="0" applyAlignment="1" applyBorder="1" applyFont="1" applyNumberFormat="1">
      <alignment horizontal="center" readingOrder="0" shrinkToFit="0" wrapText="1"/>
    </xf>
    <xf borderId="38" fillId="0" fontId="4" numFmtId="167" xfId="0" applyAlignment="1" applyBorder="1" applyFont="1" applyNumberFormat="1">
      <alignment horizontal="center" readingOrder="0"/>
    </xf>
    <xf borderId="15" fillId="0" fontId="4" numFmtId="167" xfId="0" applyAlignment="1" applyBorder="1" applyFont="1" applyNumberFormat="1">
      <alignment horizontal="center" readingOrder="0"/>
    </xf>
    <xf borderId="7" fillId="5" fontId="2" numFmtId="0" xfId="0" applyAlignment="1" applyBorder="1" applyFill="1" applyFont="1">
      <alignment horizontal="center" readingOrder="0"/>
    </xf>
    <xf borderId="17" fillId="0" fontId="4" numFmtId="167" xfId="0" applyAlignment="1" applyBorder="1" applyFont="1" applyNumberFormat="1">
      <alignment horizontal="center" readingOrder="0"/>
    </xf>
    <xf borderId="13" fillId="0" fontId="4" numFmtId="167" xfId="0" applyAlignment="1" applyBorder="1" applyFont="1" applyNumberFormat="1">
      <alignment horizontal="center" readingOrder="0"/>
    </xf>
    <xf borderId="13" fillId="0" fontId="3" numFmtId="168" xfId="0" applyAlignment="1" applyBorder="1" applyFont="1" applyNumberFormat="1">
      <alignment horizontal="center" readingOrder="0" shrinkToFit="0" wrapText="1"/>
    </xf>
    <xf borderId="15" fillId="0" fontId="4" numFmtId="16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33" fillId="0" fontId="1" numFmtId="0" xfId="0" applyAlignment="1" applyBorder="1" applyFont="1">
      <alignment readingOrder="0" shrinkToFit="0" vertical="center" wrapText="0"/>
    </xf>
    <xf borderId="33" fillId="0" fontId="1" numFmtId="0" xfId="0" applyAlignment="1" applyBorder="1" applyFont="1">
      <alignment horizontal="center" readingOrder="0" shrinkToFit="0" vertical="center" wrapText="0"/>
    </xf>
    <xf borderId="33" fillId="0" fontId="1" numFmtId="10" xfId="0" applyAlignment="1" applyBorder="1" applyFont="1" applyNumberFormat="1">
      <alignment horizontal="center" readingOrder="0" shrinkToFit="0" vertical="center" wrapText="0"/>
    </xf>
    <xf borderId="33" fillId="2" fontId="1" numFmtId="0" xfId="0" applyAlignment="1" applyBorder="1" applyFill="1" applyFont="1">
      <alignment readingOrder="0" shrinkToFit="0" vertical="center" wrapText="0"/>
    </xf>
    <xf borderId="33" fillId="2" fontId="1" numFmtId="0" xfId="0" applyAlignment="1" applyBorder="1" applyFill="1" applyFont="1">
      <alignment horizontal="center" readingOrder="0"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33" fillId="0" fontId="1" numFmtId="49" xfId="0" applyAlignment="1" applyBorder="1" applyFont="1" applyNumberFormat="1">
      <alignment readingOrder="0" shrinkToFit="0" vertical="center" wrapText="0"/>
    </xf>
    <xf borderId="33" fillId="2" fontId="1" numFmtId="49" xfId="0" applyAlignment="1" applyBorder="1" applyFill="1" applyFont="1" applyNumberFormat="1">
      <alignment readingOrder="0" shrinkToFit="0" vertical="center" wrapText="0"/>
    </xf>
    <xf borderId="33" fillId="0" fontId="1" numFmtId="49" xfId="0" applyAlignment="1" applyBorder="1" applyFont="1" applyNumberFormat="1">
      <alignment readingOrder="0" shrinkToFit="0" vertical="center" wrapText="0"/>
    </xf>
    <xf borderId="33" fillId="0" fontId="1" numFmtId="0" xfId="0" applyAlignment="1" applyBorder="1" applyFont="1">
      <alignment horizontal="center" readingOrder="0" shrinkToFit="0" vertical="center" wrapText="0"/>
    </xf>
    <xf borderId="33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lend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E17" displayName="Economic_Event_Schedule" name="Economic_Event_Schedule" id="1">
  <tableColumns count="4">
    <tableColumn name="Date" id="1"/>
    <tableColumn name="Data Release" id="2"/>
    <tableColumn name="Period" id="3"/>
    <tableColumn name="Last" id="4"/>
  </tableColumns>
  <tableStyleInfo name="Calend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news.release/pdf/cpi.pdf" TargetMode="External"/><Relationship Id="rId2" Type="http://schemas.openxmlformats.org/officeDocument/2006/relationships/hyperlink" Target="https://econvitals.org/inflation/" TargetMode="External"/><Relationship Id="rId3" Type="http://schemas.openxmlformats.org/officeDocument/2006/relationships/hyperlink" Target="https://fred.stlouisfed.org/graph/?g=1wX9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convitals.org/inflation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asprices.aaa.com/" TargetMode="External"/><Relationship Id="rId2" Type="http://schemas.openxmlformats.org/officeDocument/2006/relationships/hyperlink" Target="https://www.google.com/url?q=https://www.eia.gov/petroleum/gasdiesel/&amp;sa=D&amp;source=docs&amp;ust=1790188859188305&amp;usg=AOvVaw39bEYTQiAQAHt68sXAFlPV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news.release/pdf/empsit.pdf" TargetMode="External"/><Relationship Id="rId2" Type="http://schemas.openxmlformats.org/officeDocument/2006/relationships/hyperlink" Target="https://econvitals.org/labor/" TargetMode="External"/><Relationship Id="rId3" Type="http://schemas.openxmlformats.org/officeDocument/2006/relationships/hyperlink" Target="https://fred.stlouisfed.org/series/PAYEMS" TargetMode="External"/><Relationship Id="rId4" Type="http://schemas.openxmlformats.org/officeDocument/2006/relationships/hyperlink" Target="https://fred.stlouisfed.org/series/MANEMP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convitals.org/calendar/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graph/?g=1EdfQ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graph/?g=1tzuA" TargetMode="External"/><Relationship Id="rId2" Type="http://schemas.openxmlformats.org/officeDocument/2006/relationships/hyperlink" Target="https://fred.stlouisfed.org/graph/?g=1vp6J" TargetMode="Externa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7" max="7" width="9.75"/>
  </cols>
  <sheetData>
    <row r="1">
      <c r="A1" s="1" t="s">
        <v>3</v>
      </c>
    </row>
    <row r="2">
      <c r="B2" s="4"/>
      <c r="C2" s="6" t="s">
        <v>4</v>
      </c>
      <c r="D2" s="11" t="s">
        <v>6</v>
      </c>
      <c r="E2" s="6" t="s">
        <v>11</v>
      </c>
      <c r="F2" s="14" t="s">
        <v>13</v>
      </c>
      <c r="G2" s="11" t="s">
        <v>16</v>
      </c>
      <c r="H2" s="6">
        <v>2023.0</v>
      </c>
      <c r="I2" s="11">
        <v>2024.0</v>
      </c>
    </row>
    <row r="3">
      <c r="B3" s="16" t="s">
        <v>19</v>
      </c>
      <c r="C3" s="19">
        <v>0.4</v>
      </c>
      <c r="D3" s="21">
        <v>4.9</v>
      </c>
      <c r="E3" s="22">
        <v>0.2</v>
      </c>
      <c r="F3" s="26">
        <v>4.1</v>
      </c>
      <c r="G3" s="28">
        <v>3.4</v>
      </c>
      <c r="H3" s="22">
        <v>3.4</v>
      </c>
      <c r="I3" s="28">
        <v>2.9</v>
      </c>
    </row>
    <row r="4">
      <c r="B4" s="31" t="s">
        <v>30</v>
      </c>
      <c r="C4" s="33">
        <v>0.3</v>
      </c>
      <c r="D4" s="35">
        <v>3.5</v>
      </c>
      <c r="E4" s="37">
        <v>2.0</v>
      </c>
      <c r="F4" s="39">
        <v>2.6</v>
      </c>
      <c r="G4" s="41">
        <v>2.4</v>
      </c>
      <c r="H4" s="37">
        <v>3.9</v>
      </c>
      <c r="I4" s="41">
        <v>3.2</v>
      </c>
    </row>
    <row r="5">
      <c r="B5" s="16" t="s">
        <v>33</v>
      </c>
      <c r="C5" s="19">
        <v>0.1</v>
      </c>
      <c r="D5" s="21">
        <v>1.3</v>
      </c>
      <c r="E5" s="22">
        <v>0.9</v>
      </c>
      <c r="F5" s="26">
        <v>0.5</v>
      </c>
      <c r="G5" s="28">
        <v>0.7</v>
      </c>
      <c r="H5" s="22">
        <v>0.2</v>
      </c>
      <c r="I5" s="28">
        <v>-0.5</v>
      </c>
    </row>
    <row r="6">
      <c r="B6" s="31" t="s">
        <v>34</v>
      </c>
      <c r="C6" s="33">
        <v>0.3</v>
      </c>
      <c r="D6" s="35">
        <v>4.0</v>
      </c>
      <c r="E6" s="37">
        <v>2.4</v>
      </c>
      <c r="F6" s="39">
        <v>3.3</v>
      </c>
      <c r="G6" s="41">
        <v>3.0</v>
      </c>
      <c r="H6" s="37">
        <v>5.3</v>
      </c>
      <c r="I6" s="41">
        <v>4.4</v>
      </c>
    </row>
    <row r="7">
      <c r="B7" s="16" t="s">
        <v>41</v>
      </c>
      <c r="C7" s="19">
        <v>0.3</v>
      </c>
      <c r="D7" s="21">
        <v>3.2</v>
      </c>
      <c r="E7" s="22">
        <v>2.1</v>
      </c>
      <c r="F7" s="26">
        <v>3.5</v>
      </c>
      <c r="G7" s="28">
        <v>3.0</v>
      </c>
      <c r="H7" s="22">
        <v>6.2</v>
      </c>
      <c r="I7" s="28">
        <v>4.6</v>
      </c>
    </row>
    <row r="8">
      <c r="B8" s="53" t="s">
        <v>40</v>
      </c>
      <c r="C8" s="54">
        <v>0.1</v>
      </c>
      <c r="D8" s="55">
        <v>1.5</v>
      </c>
      <c r="E8" s="56">
        <v>1.6</v>
      </c>
      <c r="F8" s="57">
        <v>2.1</v>
      </c>
      <c r="G8" s="58">
        <v>2.6</v>
      </c>
      <c r="H8" s="56">
        <v>2.7</v>
      </c>
      <c r="I8" s="58">
        <v>2.5</v>
      </c>
    </row>
    <row r="9">
      <c r="B9" s="60" t="s">
        <v>45</v>
      </c>
      <c r="C9" s="61">
        <v>2.1</v>
      </c>
      <c r="D9" s="62">
        <v>28.3</v>
      </c>
      <c r="E9" s="63">
        <v>-19.1</v>
      </c>
      <c r="F9" s="64">
        <v>28.6</v>
      </c>
      <c r="G9" s="65">
        <v>16.0</v>
      </c>
      <c r="H9" s="63">
        <v>-2.0</v>
      </c>
      <c r="I9" s="65">
        <v>-0.5</v>
      </c>
    </row>
    <row r="11">
      <c r="B11" s="30" t="s">
        <v>47</v>
      </c>
      <c r="C11" s="50" t="s">
        <v>49</v>
      </c>
    </row>
    <row r="12">
      <c r="B12" s="30" t="s">
        <v>35</v>
      </c>
      <c r="C12" s="50" t="s">
        <v>57</v>
      </c>
    </row>
    <row r="14">
      <c r="B14" s="30" t="s">
        <v>58</v>
      </c>
      <c r="C14" s="50" t="s">
        <v>59</v>
      </c>
    </row>
  </sheetData>
  <hyperlinks>
    <hyperlink r:id="rId1" ref="C11"/>
    <hyperlink r:id="rId2" location="sec-cpi" ref="C12"/>
    <hyperlink r:id="rId3" ref="C1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B2" s="4"/>
      <c r="C2" s="6" t="s">
        <v>4</v>
      </c>
      <c r="D2" s="11" t="s">
        <v>6</v>
      </c>
      <c r="E2" s="6" t="s">
        <v>11</v>
      </c>
      <c r="F2" s="14" t="s">
        <v>13</v>
      </c>
      <c r="G2" s="11" t="s">
        <v>16</v>
      </c>
      <c r="H2" s="6">
        <v>2023.0</v>
      </c>
      <c r="I2" s="11">
        <v>2024.0</v>
      </c>
    </row>
    <row r="3">
      <c r="B3" s="16" t="s">
        <v>19</v>
      </c>
      <c r="C3" s="19">
        <v>0.2</v>
      </c>
      <c r="D3" s="21">
        <v>1.9</v>
      </c>
      <c r="E3" s="22">
        <v>2.2</v>
      </c>
      <c r="F3" s="26">
        <v>4.1</v>
      </c>
      <c r="G3" s="28">
        <v>3.7</v>
      </c>
      <c r="H3" s="22">
        <v>2.6</v>
      </c>
      <c r="I3" s="28">
        <v>2.4</v>
      </c>
    </row>
    <row r="4">
      <c r="B4" s="31" t="s">
        <v>30</v>
      </c>
      <c r="C4" s="33">
        <v>0.2</v>
      </c>
      <c r="D4" s="35">
        <v>3.0</v>
      </c>
      <c r="E4" s="37">
        <v>3.0</v>
      </c>
      <c r="F4" s="39">
        <v>3.5</v>
      </c>
      <c r="G4" s="41">
        <v>3.3</v>
      </c>
      <c r="H4" s="37">
        <v>2.9</v>
      </c>
      <c r="I4" s="41">
        <v>2.8</v>
      </c>
    </row>
    <row r="5">
      <c r="B5" s="16" t="s">
        <v>33</v>
      </c>
      <c r="C5" s="19"/>
      <c r="D5" s="21">
        <v>1.8</v>
      </c>
      <c r="E5" s="22">
        <v>0.6</v>
      </c>
      <c r="F5" s="26">
        <v>3.0</v>
      </c>
      <c r="G5" s="28">
        <v>2.3</v>
      </c>
      <c r="H5" s="44"/>
      <c r="I5" s="46"/>
    </row>
    <row r="6">
      <c r="B6" s="31" t="s">
        <v>34</v>
      </c>
      <c r="C6" s="33"/>
      <c r="D6" s="35">
        <v>3.4</v>
      </c>
      <c r="E6" s="37">
        <v>3.9</v>
      </c>
      <c r="F6" s="39">
        <v>3.6</v>
      </c>
      <c r="G6" s="41">
        <v>3.7</v>
      </c>
      <c r="H6" s="48"/>
      <c r="I6" s="51"/>
    </row>
    <row r="7">
      <c r="B7" s="16" t="s">
        <v>36</v>
      </c>
      <c r="C7" s="19"/>
      <c r="D7" s="21">
        <v>3.2</v>
      </c>
      <c r="E7" s="22">
        <v>3.2</v>
      </c>
      <c r="F7" s="26">
        <v>3.6</v>
      </c>
      <c r="G7" s="28">
        <v>3.2</v>
      </c>
      <c r="H7" s="44"/>
      <c r="I7" s="46"/>
    </row>
    <row r="8">
      <c r="B8" s="53" t="s">
        <v>40</v>
      </c>
      <c r="C8" s="54"/>
      <c r="D8" s="55">
        <v>-1.0</v>
      </c>
      <c r="E8" s="56">
        <v>0.9</v>
      </c>
      <c r="F8" s="57">
        <v>1.7</v>
      </c>
      <c r="G8" s="58">
        <v>2.24</v>
      </c>
      <c r="H8" s="56">
        <v>1.5</v>
      </c>
      <c r="I8" s="58">
        <v>1.6</v>
      </c>
    </row>
    <row r="9">
      <c r="B9" s="60" t="s">
        <v>45</v>
      </c>
      <c r="C9" s="61"/>
      <c r="D9" s="62">
        <v>-16.2</v>
      </c>
      <c r="E9" s="63">
        <v>-13.5</v>
      </c>
      <c r="F9" s="64">
        <v>26.9</v>
      </c>
      <c r="G9" s="65">
        <v>15.3</v>
      </c>
      <c r="H9" s="63">
        <v>-2.2</v>
      </c>
      <c r="I9" s="65">
        <v>-1.1</v>
      </c>
    </row>
    <row r="11">
      <c r="B11" s="30" t="s">
        <v>47</v>
      </c>
    </row>
    <row r="12">
      <c r="B12" s="30" t="s">
        <v>35</v>
      </c>
      <c r="C12" s="50" t="s">
        <v>48</v>
      </c>
    </row>
  </sheetData>
  <hyperlinks>
    <hyperlink r:id="rId1" location="sec-pce" ref="C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8.38"/>
    <col customWidth="1" min="4" max="4" width="21.5"/>
    <col customWidth="1" min="5" max="5" width="15.0"/>
    <col customWidth="1" min="7" max="7" width="20.0"/>
    <col customWidth="1" min="8" max="8" width="19.38"/>
    <col customWidth="1" min="9" max="9" width="13.88"/>
    <col customWidth="1" min="10" max="10" width="16.63"/>
  </cols>
  <sheetData>
    <row r="1">
      <c r="A1" s="1" t="s">
        <v>0</v>
      </c>
      <c r="G1" s="3"/>
      <c r="H1" s="9"/>
    </row>
    <row r="2">
      <c r="A2" s="13" t="s">
        <v>10</v>
      </c>
      <c r="B2" s="5" t="s">
        <v>17</v>
      </c>
      <c r="C2" s="8" t="s">
        <v>18</v>
      </c>
      <c r="D2" s="18" t="s">
        <v>20</v>
      </c>
      <c r="E2" s="18" t="s">
        <v>21</v>
      </c>
      <c r="F2" s="10" t="s">
        <v>22</v>
      </c>
      <c r="G2" s="12" t="s">
        <v>23</v>
      </c>
      <c r="H2" s="12" t="s">
        <v>24</v>
      </c>
      <c r="I2" s="8" t="s">
        <v>25</v>
      </c>
      <c r="J2" s="10" t="s">
        <v>26</v>
      </c>
    </row>
    <row r="3">
      <c r="B3" s="24" t="s">
        <v>27</v>
      </c>
      <c r="C3" s="27">
        <v>4.47</v>
      </c>
      <c r="D3" s="29">
        <v>4.37</v>
      </c>
      <c r="E3" s="32">
        <v>4.1</v>
      </c>
      <c r="F3" s="34">
        <v>3.17</v>
      </c>
      <c r="G3" s="36"/>
      <c r="H3" s="36"/>
      <c r="I3" s="38"/>
      <c r="J3" s="34"/>
    </row>
    <row r="4">
      <c r="B4" s="40" t="s">
        <v>32</v>
      </c>
      <c r="C4" s="42">
        <v>6.52</v>
      </c>
      <c r="D4" s="43">
        <v>6.31</v>
      </c>
      <c r="E4" s="45">
        <v>5.61</v>
      </c>
      <c r="F4" s="47">
        <v>3.69</v>
      </c>
      <c r="G4" s="49"/>
      <c r="H4" s="49"/>
      <c r="I4" s="52"/>
      <c r="J4" s="47"/>
    </row>
    <row r="5">
      <c r="B5" s="30" t="s">
        <v>38</v>
      </c>
    </row>
    <row r="6">
      <c r="B6" s="30" t="s">
        <v>39</v>
      </c>
    </row>
    <row r="7">
      <c r="B7" s="30" t="s">
        <v>42</v>
      </c>
      <c r="C7" s="59" t="s">
        <v>43</v>
      </c>
    </row>
    <row r="11">
      <c r="A11" s="13" t="s">
        <v>50</v>
      </c>
      <c r="B11" s="66" t="s">
        <v>17</v>
      </c>
      <c r="C11" s="67" t="s">
        <v>53</v>
      </c>
      <c r="D11" s="68" t="s">
        <v>54</v>
      </c>
      <c r="E11" s="68" t="s">
        <v>55</v>
      </c>
      <c r="F11" s="69" t="s">
        <v>56</v>
      </c>
    </row>
    <row r="12">
      <c r="B12" s="15" t="s">
        <v>27</v>
      </c>
      <c r="C12" s="70">
        <v>4.48</v>
      </c>
      <c r="D12" s="71">
        <v>4.32</v>
      </c>
      <c r="E12" s="72">
        <v>4.09</v>
      </c>
      <c r="F12" s="73">
        <v>3.05</v>
      </c>
    </row>
    <row r="13">
      <c r="B13" s="15" t="s">
        <v>32</v>
      </c>
      <c r="C13" s="70">
        <v>6.53</v>
      </c>
      <c r="D13" s="71">
        <v>6.29</v>
      </c>
      <c r="E13" s="72">
        <v>5.65</v>
      </c>
      <c r="F13" s="73">
        <v>3.76</v>
      </c>
    </row>
    <row r="14" ht="6.0" customHeight="1">
      <c r="B14" s="30"/>
    </row>
    <row r="15">
      <c r="B15" s="66" t="s">
        <v>17</v>
      </c>
      <c r="C15" s="74" t="s">
        <v>23</v>
      </c>
      <c r="D15" s="74" t="s">
        <v>24</v>
      </c>
      <c r="E15" s="67" t="s">
        <v>25</v>
      </c>
      <c r="F15" s="69" t="s">
        <v>26</v>
      </c>
    </row>
    <row r="16">
      <c r="B16" s="15" t="s">
        <v>27</v>
      </c>
      <c r="C16" s="75">
        <v>2.94</v>
      </c>
      <c r="D16" s="75">
        <v>3.11</v>
      </c>
      <c r="E16" s="76">
        <v>3.3</v>
      </c>
      <c r="F16" s="73">
        <v>3.52</v>
      </c>
    </row>
    <row r="17">
      <c r="B17" s="15" t="s">
        <v>32</v>
      </c>
      <c r="C17" s="75">
        <v>3.81</v>
      </c>
      <c r="D17" s="75">
        <v>3.72</v>
      </c>
      <c r="E17" s="76">
        <v>3.76</v>
      </c>
      <c r="F17" s="73">
        <v>4.21</v>
      </c>
    </row>
    <row r="18">
      <c r="B18" s="30" t="s">
        <v>60</v>
      </c>
    </row>
    <row r="19">
      <c r="B19" s="30" t="s">
        <v>39</v>
      </c>
    </row>
    <row r="20">
      <c r="B20" s="30" t="s">
        <v>61</v>
      </c>
      <c r="C20" s="59" t="s">
        <v>62</v>
      </c>
    </row>
    <row r="21">
      <c r="B21" s="30" t="s">
        <v>63</v>
      </c>
    </row>
  </sheetData>
  <hyperlinks>
    <hyperlink r:id="rId1" ref="C7"/>
    <hyperlink r:id="rId2" ref="C2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38"/>
    <col customWidth="1" min="3" max="4" width="14.13"/>
    <col customWidth="1" min="5" max="5" width="14.63"/>
    <col customWidth="1" min="6" max="6" width="17.88"/>
  </cols>
  <sheetData>
    <row r="1">
      <c r="A1" s="1" t="s">
        <v>2</v>
      </c>
    </row>
    <row r="2">
      <c r="B2" s="5"/>
      <c r="C2" s="7" t="s">
        <v>5</v>
      </c>
      <c r="D2" s="8" t="s">
        <v>7</v>
      </c>
      <c r="E2" s="10" t="s">
        <v>8</v>
      </c>
      <c r="F2" s="12" t="s">
        <v>9</v>
      </c>
      <c r="G2" s="12" t="s">
        <v>12</v>
      </c>
      <c r="H2" s="12" t="s">
        <v>14</v>
      </c>
    </row>
    <row r="3">
      <c r="B3" s="15" t="s">
        <v>15</v>
      </c>
      <c r="C3" s="17">
        <v>162000.0</v>
      </c>
      <c r="D3" s="20">
        <v>71000.0</v>
      </c>
      <c r="E3" s="23">
        <v>50000.0</v>
      </c>
      <c r="F3" s="25">
        <v>42000.0</v>
      </c>
      <c r="G3" s="25">
        <v>122000.0</v>
      </c>
      <c r="H3" s="25">
        <v>210000.0</v>
      </c>
    </row>
    <row r="4">
      <c r="B4" s="15" t="s">
        <v>28</v>
      </c>
      <c r="C4" s="17">
        <v>16000.0</v>
      </c>
      <c r="D4" s="20">
        <v>14000.0</v>
      </c>
      <c r="E4" s="23">
        <v>2000.0</v>
      </c>
      <c r="F4" s="25">
        <v>-2000.0</v>
      </c>
      <c r="G4" s="25">
        <v>-15000.0</v>
      </c>
      <c r="H4" s="25">
        <v>-2000.0</v>
      </c>
    </row>
    <row r="6">
      <c r="B6" s="30" t="s">
        <v>29</v>
      </c>
      <c r="C6" s="50" t="s">
        <v>31</v>
      </c>
    </row>
    <row r="7">
      <c r="B7" s="30" t="s">
        <v>35</v>
      </c>
      <c r="C7" s="59" t="s">
        <v>37</v>
      </c>
    </row>
    <row r="8">
      <c r="B8" s="30" t="s">
        <v>44</v>
      </c>
      <c r="C8" s="59" t="s">
        <v>46</v>
      </c>
    </row>
    <row r="9">
      <c r="B9" s="30" t="s">
        <v>51</v>
      </c>
      <c r="C9" s="59" t="s">
        <v>52</v>
      </c>
    </row>
  </sheetData>
  <hyperlinks>
    <hyperlink r:id="rId1" ref="C6"/>
    <hyperlink r:id="rId2" location="sec-employment" ref="C7"/>
    <hyperlink r:id="rId3" ref="C8"/>
    <hyperlink r:id="rId4" ref="C9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21.63"/>
    <col customWidth="1" min="4" max="4" width="16.0"/>
    <col customWidth="1" min="6" max="6" width="14.0"/>
  </cols>
  <sheetData>
    <row r="1">
      <c r="A1" s="30" t="s">
        <v>2</v>
      </c>
    </row>
    <row r="2">
      <c r="B2" s="5"/>
      <c r="C2" s="8" t="s">
        <v>64</v>
      </c>
      <c r="D2" s="18" t="s">
        <v>6</v>
      </c>
      <c r="E2" s="18" t="s">
        <v>11</v>
      </c>
      <c r="F2" s="10" t="s">
        <v>65</v>
      </c>
      <c r="G2" s="12" t="s">
        <v>25</v>
      </c>
      <c r="H2" s="12" t="s">
        <v>26</v>
      </c>
    </row>
    <row r="3">
      <c r="B3" s="15" t="s">
        <v>66</v>
      </c>
      <c r="C3" s="77"/>
      <c r="D3" s="71"/>
      <c r="E3" s="72"/>
      <c r="F3" s="73"/>
      <c r="G3" s="75"/>
      <c r="H3" s="75"/>
    </row>
    <row r="4">
      <c r="B4" s="15" t="s">
        <v>67</v>
      </c>
      <c r="C4" s="77">
        <v>-0.001</v>
      </c>
      <c r="D4" s="71"/>
      <c r="E4" s="72"/>
      <c r="F4" s="78">
        <v>-0.003</v>
      </c>
      <c r="G4" s="75"/>
      <c r="H4" s="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75"/>
    <col customWidth="1" min="3" max="3" width="32.75"/>
    <col customWidth="1" min="5" max="5" width="18.0"/>
  </cols>
  <sheetData>
    <row r="2" ht="22.5" customHeight="1">
      <c r="B2" s="79" t="s">
        <v>69</v>
      </c>
      <c r="C2" s="79" t="s">
        <v>70</v>
      </c>
      <c r="D2" s="79" t="s">
        <v>71</v>
      </c>
      <c r="E2" s="79" t="s">
        <v>72</v>
      </c>
    </row>
    <row r="3" ht="22.5" customHeight="1">
      <c r="B3" s="80" t="s">
        <v>73</v>
      </c>
      <c r="C3" s="81" t="s">
        <v>74</v>
      </c>
      <c r="D3" s="81" t="s">
        <v>75</v>
      </c>
      <c r="E3" s="81" t="s">
        <v>76</v>
      </c>
    </row>
    <row r="4" ht="22.5" customHeight="1">
      <c r="B4" s="80" t="s">
        <v>73</v>
      </c>
      <c r="C4" s="81" t="s">
        <v>77</v>
      </c>
      <c r="D4" s="81" t="s">
        <v>64</v>
      </c>
      <c r="E4" s="81" t="s">
        <v>78</v>
      </c>
    </row>
    <row r="5" ht="22.5" customHeight="1">
      <c r="B5" s="80" t="s">
        <v>79</v>
      </c>
      <c r="C5" s="81" t="s">
        <v>80</v>
      </c>
      <c r="D5" s="81" t="s">
        <v>64</v>
      </c>
      <c r="E5" s="82">
        <v>0.011</v>
      </c>
    </row>
    <row r="6" ht="22.5" customHeight="1">
      <c r="B6" s="83" t="s">
        <v>79</v>
      </c>
      <c r="C6" s="84" t="s">
        <v>81</v>
      </c>
      <c r="D6" s="84" t="s">
        <v>82</v>
      </c>
      <c r="E6" s="84">
        <v>51.7</v>
      </c>
    </row>
    <row r="7" ht="22.5" customHeight="1">
      <c r="B7" s="80" t="s">
        <v>83</v>
      </c>
      <c r="C7" s="81" t="s">
        <v>84</v>
      </c>
      <c r="D7" s="81" t="s">
        <v>82</v>
      </c>
      <c r="E7" s="85"/>
    </row>
    <row r="8" ht="22.5" customHeight="1">
      <c r="B8" s="80" t="s">
        <v>83</v>
      </c>
      <c r="C8" s="81" t="s">
        <v>85</v>
      </c>
      <c r="D8" s="81" t="s">
        <v>64</v>
      </c>
      <c r="E8" s="81" t="s">
        <v>86</v>
      </c>
    </row>
    <row r="9" ht="22.5" customHeight="1">
      <c r="B9" s="80" t="s">
        <v>83</v>
      </c>
      <c r="C9" s="81" t="s">
        <v>89</v>
      </c>
      <c r="D9" s="81" t="s">
        <v>90</v>
      </c>
      <c r="E9" s="82">
        <v>0.021</v>
      </c>
    </row>
    <row r="10" ht="22.5" customHeight="1">
      <c r="B10" s="80" t="s">
        <v>91</v>
      </c>
      <c r="C10" s="81" t="s">
        <v>92</v>
      </c>
      <c r="D10" s="81" t="s">
        <v>93</v>
      </c>
      <c r="E10" s="82">
        <v>0.015</v>
      </c>
    </row>
    <row r="11" ht="22.5" customHeight="1">
      <c r="B11" s="83" t="s">
        <v>91</v>
      </c>
      <c r="C11" s="84" t="s">
        <v>94</v>
      </c>
      <c r="D11" s="84" t="s">
        <v>64</v>
      </c>
      <c r="E11" s="84" t="s">
        <v>95</v>
      </c>
    </row>
    <row r="12" ht="22.5" customHeight="1">
      <c r="B12" s="80" t="s">
        <v>91</v>
      </c>
      <c r="C12" s="81" t="s">
        <v>97</v>
      </c>
      <c r="D12" s="81" t="s">
        <v>64</v>
      </c>
      <c r="E12" s="81" t="s">
        <v>99</v>
      </c>
    </row>
    <row r="13" ht="22.5" customHeight="1">
      <c r="B13" s="86" t="s">
        <v>100</v>
      </c>
      <c r="C13" s="81" t="s">
        <v>74</v>
      </c>
      <c r="D13" s="81" t="s">
        <v>75</v>
      </c>
      <c r="E13" s="81" t="s">
        <v>76</v>
      </c>
    </row>
    <row r="14" ht="22.5" customHeight="1">
      <c r="B14" s="87" t="s">
        <v>101</v>
      </c>
      <c r="C14" s="84" t="s">
        <v>102</v>
      </c>
      <c r="D14" s="83" t="s">
        <v>82</v>
      </c>
      <c r="E14" s="84" t="s">
        <v>103</v>
      </c>
    </row>
    <row r="15" ht="22.5" customHeight="1">
      <c r="B15" s="88" t="s">
        <v>104</v>
      </c>
      <c r="C15" s="81" t="s">
        <v>74</v>
      </c>
      <c r="D15" s="81" t="s">
        <v>75</v>
      </c>
      <c r="E15" s="81" t="s">
        <v>76</v>
      </c>
    </row>
    <row r="16" ht="22.5" customHeight="1">
      <c r="B16" s="87" t="s">
        <v>105</v>
      </c>
      <c r="C16" s="84" t="s">
        <v>106</v>
      </c>
      <c r="D16" s="84" t="s">
        <v>82</v>
      </c>
      <c r="E16" s="84" t="s">
        <v>107</v>
      </c>
    </row>
    <row r="17" ht="22.5" customHeight="1">
      <c r="B17" s="88" t="s">
        <v>108</v>
      </c>
      <c r="C17" s="89" t="s">
        <v>109</v>
      </c>
      <c r="D17" s="89" t="s">
        <v>82</v>
      </c>
      <c r="E17" s="89" t="s">
        <v>107</v>
      </c>
    </row>
    <row r="18">
      <c r="B18" s="90"/>
      <c r="C18" s="90"/>
      <c r="D18" s="90"/>
      <c r="E18" s="90"/>
    </row>
    <row r="21">
      <c r="B21" s="30" t="s">
        <v>35</v>
      </c>
      <c r="C21" s="50" t="s">
        <v>110</v>
      </c>
    </row>
  </sheetData>
  <dataValidations>
    <dataValidation allowBlank="1" showDropDown="1" sqref="B3:B17"/>
  </dataValidations>
  <hyperlinks>
    <hyperlink r:id="rId1" ref="C21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A9" s="59" t="s">
        <v>68</v>
      </c>
    </row>
  </sheetData>
  <hyperlinks>
    <hyperlink r:id="rId1" ref="A9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/>
    </row>
    <row r="4">
      <c r="A4" s="30" t="s">
        <v>87</v>
      </c>
      <c r="B4" s="50" t="s">
        <v>88</v>
      </c>
    </row>
    <row r="5">
      <c r="A5" s="30" t="s">
        <v>96</v>
      </c>
      <c r="B5" s="50" t="s">
        <v>98</v>
      </c>
    </row>
  </sheetData>
  <hyperlinks>
    <hyperlink r:id="rId1" ref="B4"/>
    <hyperlink r:id="rId2" ref="B5"/>
  </hyperlinks>
  <drawing r:id="rId3"/>
</worksheet>
</file>